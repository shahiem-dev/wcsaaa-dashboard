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2"/>
  <workbookPr/>
  <bookViews>
    <workbookView xWindow="-120" yWindow="-120" windowWidth="20730" windowHeight="11160"/>
  </bookViews>
  <sheets>
    <sheet name="Position" sheetId="2" r:id="rId1"/>
  </sheets>
  <definedNames>
    <definedName name="_xlnm._FilterDatabase" localSheetId="0" hidden="1">Position!$B$4:$P$281</definedName>
  </definedNames>
  <calcPr calcId="144525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P11" i="2" l="1"/>
  <c r="P14" i="2"/>
  <c r="P7" i="2"/>
  <c r="P13" i="2"/>
  <c r="P141" i="2"/>
  <c r="P200" i="2"/>
  <c r="P8" i="2"/>
  <c r="P17" i="2"/>
  <c r="P44" i="2"/>
  <c r="P30" i="2"/>
  <c r="P39" i="2"/>
  <c r="P6" i="2"/>
  <c r="P32" i="2"/>
  <c r="P80" i="2"/>
  <c r="P77" i="2"/>
  <c r="P9" i="2"/>
  <c r="P71" i="2"/>
  <c r="P203" i="2"/>
  <c r="P204" i="2"/>
  <c r="P19" i="2"/>
  <c r="P12" i="2"/>
  <c r="P38" i="2"/>
  <c r="P37" i="2"/>
  <c r="P116" i="2"/>
  <c r="P153" i="2"/>
  <c r="P15" i="2"/>
  <c r="P45" i="2"/>
  <c r="P110" i="2"/>
  <c r="P10" i="2"/>
  <c r="P51" i="2"/>
  <c r="P28" i="2"/>
  <c r="P85" i="2"/>
  <c r="P48" i="2"/>
  <c r="P20" i="2"/>
  <c r="P31" i="2"/>
  <c r="P29" i="2"/>
  <c r="P73" i="2"/>
  <c r="P64" i="2"/>
  <c r="P129" i="2"/>
  <c r="P18" i="2"/>
  <c r="P130" i="2"/>
  <c r="P46" i="2"/>
  <c r="P168" i="2"/>
  <c r="P23" i="2"/>
  <c r="P35" i="2"/>
  <c r="P183" i="2"/>
  <c r="P123" i="2"/>
  <c r="P53" i="2"/>
  <c r="P47" i="2"/>
  <c r="P25" i="2"/>
  <c r="P66" i="2"/>
  <c r="P103" i="2"/>
  <c r="P27" i="2"/>
  <c r="P132" i="2"/>
  <c r="P167" i="2"/>
  <c r="P43" i="2"/>
  <c r="P89" i="2"/>
  <c r="P144" i="2"/>
  <c r="P26" i="2"/>
  <c r="P40" i="2"/>
  <c r="P159" i="2"/>
  <c r="P117" i="2"/>
  <c r="P137" i="2"/>
  <c r="P76" i="2"/>
  <c r="P92" i="2"/>
  <c r="P152" i="2"/>
  <c r="P161" i="2"/>
  <c r="P16" i="2"/>
  <c r="P101" i="2"/>
  <c r="P49" i="2"/>
  <c r="P67" i="2"/>
  <c r="P120" i="2"/>
  <c r="P69" i="2"/>
  <c r="P87" i="2"/>
  <c r="P41" i="2"/>
  <c r="P100" i="2"/>
  <c r="P56" i="2"/>
  <c r="P75" i="2"/>
  <c r="P50" i="2"/>
  <c r="P142" i="2"/>
  <c r="P96" i="2"/>
  <c r="P65" i="2"/>
  <c r="P63" i="2"/>
  <c r="P34" i="2"/>
  <c r="P91" i="2"/>
  <c r="P163" i="2"/>
  <c r="P162" i="2"/>
  <c r="P78" i="2"/>
  <c r="P21" i="2"/>
  <c r="P33" i="2"/>
  <c r="P60" i="2"/>
  <c r="P224" i="2"/>
  <c r="P125" i="2"/>
  <c r="P111" i="2"/>
  <c r="P124" i="2"/>
  <c r="P22" i="2"/>
  <c r="P182" i="2"/>
  <c r="P155" i="2"/>
  <c r="P62" i="2"/>
  <c r="P148" i="2"/>
  <c r="P36" i="2"/>
  <c r="P192" i="2"/>
  <c r="P185" i="2"/>
  <c r="P202" i="2"/>
  <c r="P139" i="2"/>
  <c r="P140" i="2"/>
  <c r="P74" i="2"/>
  <c r="P194" i="2"/>
  <c r="P179" i="2"/>
  <c r="P108" i="2"/>
  <c r="P57" i="2"/>
  <c r="P82" i="2"/>
  <c r="P172" i="2"/>
  <c r="P121" i="2"/>
  <c r="P239" i="2"/>
  <c r="P118" i="2"/>
  <c r="P240" i="2"/>
  <c r="P107" i="2"/>
  <c r="P164" i="2"/>
  <c r="P127" i="2"/>
  <c r="P158" i="2"/>
  <c r="P143" i="2"/>
  <c r="P245" i="2"/>
  <c r="P133" i="2"/>
  <c r="P70" i="2"/>
  <c r="P233" i="2"/>
  <c r="P247" i="2"/>
  <c r="P106" i="2"/>
  <c r="P196" i="2"/>
  <c r="P84" i="2"/>
  <c r="P175" i="2"/>
  <c r="P145" i="2"/>
  <c r="P54" i="2"/>
  <c r="P214" i="2"/>
  <c r="P105" i="2"/>
  <c r="P227" i="2"/>
  <c r="P191" i="2"/>
  <c r="P249" i="2"/>
  <c r="P95" i="2"/>
  <c r="P24" i="2"/>
  <c r="P147" i="2"/>
  <c r="P151" i="2"/>
  <c r="P193" i="2"/>
  <c r="P219" i="2"/>
  <c r="P253" i="2"/>
  <c r="P115" i="2"/>
  <c r="P97" i="2"/>
  <c r="P174" i="2"/>
  <c r="P254" i="2"/>
  <c r="P86" i="2"/>
  <c r="P235" i="2"/>
  <c r="P256" i="2"/>
  <c r="P257" i="2"/>
  <c r="P52" i="2"/>
  <c r="P260" i="2"/>
  <c r="P59" i="2"/>
  <c r="P244" i="2"/>
  <c r="P128" i="2"/>
  <c r="P61" i="2"/>
  <c r="P263" i="2"/>
  <c r="P265" i="2"/>
  <c r="P154" i="2"/>
  <c r="P198" i="2"/>
  <c r="P259" i="2"/>
  <c r="P72" i="2"/>
  <c r="P190" i="2"/>
  <c r="P58" i="2"/>
  <c r="P267" i="2"/>
  <c r="P213" i="2"/>
  <c r="P246" i="2"/>
  <c r="P268" i="2"/>
  <c r="P210" i="2"/>
  <c r="P150" i="2"/>
  <c r="P90" i="2"/>
  <c r="P236" i="2"/>
  <c r="P176" i="2"/>
  <c r="P79" i="2"/>
  <c r="P241" i="2"/>
  <c r="P271" i="2"/>
  <c r="P258" i="2"/>
  <c r="P205" i="2"/>
  <c r="P248" i="2"/>
  <c r="P274" i="2"/>
  <c r="P186" i="2"/>
  <c r="P177" i="2"/>
  <c r="P264" i="2"/>
  <c r="P93" i="2"/>
  <c r="P222" i="2"/>
  <c r="P237" i="2"/>
  <c r="P277" i="2"/>
  <c r="P278" i="2"/>
  <c r="P232" i="2"/>
  <c r="P187" i="2"/>
  <c r="P114" i="2"/>
  <c r="P81" i="2"/>
  <c r="P42" i="2"/>
  <c r="P68" i="2"/>
  <c r="P55" i="2"/>
  <c r="P98" i="2"/>
  <c r="P88" i="2"/>
  <c r="P104" i="2"/>
  <c r="P188" i="2"/>
  <c r="P99" i="2"/>
  <c r="P83" i="2"/>
  <c r="P94" i="2"/>
  <c r="P165" i="2"/>
  <c r="P113" i="2"/>
  <c r="P215" i="2"/>
  <c r="P181" i="2"/>
  <c r="P226" i="2"/>
  <c r="P230" i="2"/>
  <c r="P195" i="2"/>
  <c r="P220" i="2"/>
  <c r="P243" i="2"/>
  <c r="P160" i="2"/>
  <c r="P135" i="2"/>
  <c r="P252" i="2"/>
  <c r="P178" i="2"/>
  <c r="P102" i="2"/>
  <c r="P261" i="2"/>
  <c r="P266" i="2"/>
  <c r="P173" i="2"/>
  <c r="P197" i="2"/>
  <c r="P216" i="2"/>
  <c r="P231" i="2"/>
  <c r="P270" i="2"/>
  <c r="P207" i="2"/>
  <c r="P228" i="2"/>
  <c r="P225" i="2"/>
  <c r="P119" i="2"/>
  <c r="P273" i="2"/>
  <c r="P276" i="2"/>
  <c r="P279" i="2"/>
  <c r="P280" i="2"/>
  <c r="P136" i="2"/>
  <c r="P109" i="2"/>
  <c r="P134" i="2"/>
  <c r="P122" i="2"/>
  <c r="P149" i="2"/>
  <c r="P126" i="2"/>
  <c r="P131" i="2"/>
  <c r="P138" i="2"/>
  <c r="P112" i="2"/>
  <c r="P171" i="2"/>
  <c r="P169" i="2"/>
  <c r="P146" i="2"/>
  <c r="P201" i="2"/>
  <c r="P157" i="2"/>
  <c r="P156" i="2"/>
  <c r="P170" i="2"/>
  <c r="P180" i="2"/>
  <c r="P166" i="2"/>
  <c r="P217" i="2"/>
  <c r="P184" i="2"/>
  <c r="P223" i="2"/>
  <c r="P238" i="2"/>
  <c r="P209" i="2"/>
  <c r="P189" i="2"/>
  <c r="P234" i="2"/>
  <c r="P199" i="2"/>
  <c r="P229" i="2"/>
  <c r="P211" i="2"/>
  <c r="P206" i="2"/>
  <c r="P212" i="2"/>
  <c r="P208" i="2"/>
  <c r="P218" i="2"/>
  <c r="P242" i="2"/>
  <c r="P221" i="2"/>
  <c r="P255" i="2"/>
  <c r="P269" i="2"/>
  <c r="P262" i="2"/>
  <c r="P272" i="2"/>
  <c r="P250" i="2"/>
  <c r="P251" i="2"/>
  <c r="P275" i="2"/>
  <c r="P5" i="2"/>
</calcChain>
</file>

<file path=xl/sharedStrings.xml><?xml version="1.0" encoding="utf-8"?>
<sst xmlns="http://schemas.openxmlformats.org/spreadsheetml/2006/main" count="847" uniqueCount="573">
  <si>
    <t>GOODWOOD</t>
  </si>
  <si>
    <t>Steneveldt, Gurswin</t>
  </si>
  <si>
    <t>WP1280</t>
  </si>
  <si>
    <t>FALSEBAY</t>
  </si>
  <si>
    <t>Van Rensburg, Yuri</t>
  </si>
  <si>
    <t>WP1325</t>
  </si>
  <si>
    <t>FOUR OCEANS</t>
  </si>
  <si>
    <t>Adams, Mohammed Qiyam</t>
  </si>
  <si>
    <t>WP1239</t>
  </si>
  <si>
    <t>TYGERBERG</t>
  </si>
  <si>
    <t>Hanekom, Eduard</t>
  </si>
  <si>
    <t>WP0977</t>
  </si>
  <si>
    <t>Duvenhage, Ivan</t>
  </si>
  <si>
    <t>WP1306</t>
  </si>
  <si>
    <t>Sanka, Shaydin</t>
  </si>
  <si>
    <t>WP1265</t>
  </si>
  <si>
    <t>Horn, CJ</t>
  </si>
  <si>
    <t>WP1218</t>
  </si>
  <si>
    <t>Van Staden, Francois</t>
  </si>
  <si>
    <t>WP1309</t>
  </si>
  <si>
    <t>TWO OCEANS</t>
  </si>
  <si>
    <t>Fourie, Connor</t>
  </si>
  <si>
    <t>WP1069</t>
  </si>
  <si>
    <t>Street, Douglas</t>
  </si>
  <si>
    <t>WP1258</t>
  </si>
  <si>
    <t>Ashby, Storm</t>
  </si>
  <si>
    <t>WP1253</t>
  </si>
  <si>
    <t>Engelbrecht,Stephan</t>
  </si>
  <si>
    <t>WP0694</t>
  </si>
  <si>
    <t>POLICE</t>
  </si>
  <si>
    <t>Steyn, Noeline</t>
  </si>
  <si>
    <t>WP1292</t>
  </si>
  <si>
    <t>Beneke, Louise</t>
  </si>
  <si>
    <t>WP1328</t>
  </si>
  <si>
    <t>Van Der Merwe, Rohan</t>
  </si>
  <si>
    <t>WP1142</t>
  </si>
  <si>
    <t>Sachs, Dominique</t>
  </si>
  <si>
    <t>WP1344</t>
  </si>
  <si>
    <t>Van Aarde, Michiel</t>
  </si>
  <si>
    <t>WP1228</t>
  </si>
  <si>
    <t>Sheldon, Ismaa-eel</t>
  </si>
  <si>
    <t>WP1277</t>
  </si>
  <si>
    <t>Saaiman, Bartho</t>
  </si>
  <si>
    <t>WP1283</t>
  </si>
  <si>
    <t>BLUE RAY</t>
  </si>
  <si>
    <t>Anirudhe, AJ</t>
  </si>
  <si>
    <t>WP1154</t>
  </si>
  <si>
    <t>Odendal,Cristopher</t>
  </si>
  <si>
    <t>WP1282</t>
  </si>
  <si>
    <t>Keyser, Stephen</t>
  </si>
  <si>
    <t>WP1227</t>
  </si>
  <si>
    <t>Davids, Jamiel</t>
  </si>
  <si>
    <t>WP1233</t>
  </si>
  <si>
    <t>Van der Schyff, Moegamat</t>
  </si>
  <si>
    <t>WP1235</t>
  </si>
  <si>
    <t>Harris,Brice</t>
  </si>
  <si>
    <t>WP0715</t>
  </si>
  <si>
    <t>Louw,Christian</t>
  </si>
  <si>
    <t>WP1101</t>
  </si>
  <si>
    <t>Brand,Eben</t>
  </si>
  <si>
    <t>WP0902</t>
  </si>
  <si>
    <t>Taliep, Mogamat Taahir</t>
  </si>
  <si>
    <t>WP0996</t>
  </si>
  <si>
    <t>Olivier, Jean</t>
  </si>
  <si>
    <t>WP1304</t>
  </si>
  <si>
    <t>Scheepers, Carika</t>
  </si>
  <si>
    <t>WP1371</t>
  </si>
  <si>
    <t>Posx, Joseph</t>
  </si>
  <si>
    <t>WP1068</t>
  </si>
  <si>
    <t>Gramsma, Marcus</t>
  </si>
  <si>
    <t>WP1329</t>
  </si>
  <si>
    <t>Conradie, Jaco Divan</t>
  </si>
  <si>
    <t>WP1319</t>
  </si>
  <si>
    <t>Otto, Riaan</t>
  </si>
  <si>
    <t>WP1348</t>
  </si>
  <si>
    <t>Poliah, Klyne</t>
  </si>
  <si>
    <t>WP1245</t>
  </si>
  <si>
    <t>Otto, Ricardo</t>
  </si>
  <si>
    <t>WP1347</t>
  </si>
  <si>
    <t>Morris,Bevan</t>
  </si>
  <si>
    <t>WP0940</t>
  </si>
  <si>
    <t>Arend, Abdurahgiem</t>
  </si>
  <si>
    <t>WP1276</t>
  </si>
  <si>
    <t>Le Roux, Kai</t>
  </si>
  <si>
    <t>WP1365</t>
  </si>
  <si>
    <t>Smith, Wendy</t>
  </si>
  <si>
    <t>WP1156</t>
  </si>
  <si>
    <t>Gracio,Louise</t>
  </si>
  <si>
    <t>WP0310</t>
  </si>
  <si>
    <t>Krige,Dorianne</t>
  </si>
  <si>
    <t>WP0108</t>
  </si>
  <si>
    <t>Tolmay, Lennox</t>
  </si>
  <si>
    <t>WP1289</t>
  </si>
  <si>
    <t>Mackrill, Reece</t>
  </si>
  <si>
    <t>WP1278</t>
  </si>
  <si>
    <t>Kruger, Kobus</t>
  </si>
  <si>
    <t>WP1323</t>
  </si>
  <si>
    <t>Paul,Malcom</t>
  </si>
  <si>
    <t>WP0001</t>
  </si>
  <si>
    <t>Bossi,Enrico</t>
  </si>
  <si>
    <t>WP0123</t>
  </si>
  <si>
    <t>De Klerk, Calvin</t>
  </si>
  <si>
    <t>WP1345</t>
  </si>
  <si>
    <t>Mellem, David</t>
  </si>
  <si>
    <t>WP1334</t>
  </si>
  <si>
    <t>Bester, Pieter</t>
  </si>
  <si>
    <t>WP1368</t>
  </si>
  <si>
    <t>Mullins, Martin</t>
  </si>
  <si>
    <t>WP1274</t>
  </si>
  <si>
    <t>Trezires, B</t>
  </si>
  <si>
    <t>WP1197</t>
  </si>
  <si>
    <t>Trumpelman, Heinrich</t>
  </si>
  <si>
    <t>WP1126</t>
  </si>
  <si>
    <t>James, Gert</t>
  </si>
  <si>
    <t>WP1307</t>
  </si>
  <si>
    <t>Walters,Vincent</t>
  </si>
  <si>
    <t>WP0002</t>
  </si>
  <si>
    <t>Mitchell, Roger</t>
  </si>
  <si>
    <t>WP1279</t>
  </si>
  <si>
    <t>Duvenhage, Alwyn</t>
  </si>
  <si>
    <t>WP1305</t>
  </si>
  <si>
    <t>Conradie, Nico</t>
  </si>
  <si>
    <t>WP1275</t>
  </si>
  <si>
    <t>Van Der Watt, Jean-Louis</t>
  </si>
  <si>
    <t>WP1290</t>
  </si>
  <si>
    <t>Ely,Riedwaan</t>
  </si>
  <si>
    <t>WP0859</t>
  </si>
  <si>
    <t>Davids, Ismaeel</t>
  </si>
  <si>
    <t>WP0328</t>
  </si>
  <si>
    <t>Kotze, Johan</t>
  </si>
  <si>
    <t>WP1200</t>
  </si>
  <si>
    <t>Visser, Quinn</t>
  </si>
  <si>
    <t>WP0044</t>
  </si>
  <si>
    <t>Mulder, Jean-Pierre</t>
  </si>
  <si>
    <t>WP1259</t>
  </si>
  <si>
    <t>Bester, Rudi J</t>
  </si>
  <si>
    <t>WP1148</t>
  </si>
  <si>
    <t>Jonker,Ruan</t>
  </si>
  <si>
    <t>WP1014</t>
  </si>
  <si>
    <t>Wentzel, Zoe</t>
  </si>
  <si>
    <t>WP1302</t>
  </si>
  <si>
    <t>Christians, Tanner</t>
  </si>
  <si>
    <t>WP1234</t>
  </si>
  <si>
    <t>Du Preez, Andre</t>
  </si>
  <si>
    <t>WP1320</t>
  </si>
  <si>
    <t>Aproskie,Kai</t>
  </si>
  <si>
    <t>WP1050</t>
  </si>
  <si>
    <t>Grimwood, Keith</t>
  </si>
  <si>
    <t>WP1210</t>
  </si>
  <si>
    <t>Capes, Dillon</t>
  </si>
  <si>
    <t>WP1066</t>
  </si>
  <si>
    <t>Emrich, Hannah</t>
  </si>
  <si>
    <t>WP1343</t>
  </si>
  <si>
    <t>Wentzel, Kobus</t>
  </si>
  <si>
    <t>WP1301</t>
  </si>
  <si>
    <t>Clark, Shawn</t>
  </si>
  <si>
    <t>WP1351</t>
  </si>
  <si>
    <t>Adams, Francois</t>
  </si>
  <si>
    <t>WP1063</t>
  </si>
  <si>
    <t>Gramsa, Arnold</t>
  </si>
  <si>
    <t>WP1361</t>
  </si>
  <si>
    <t>Nel,Louis</t>
  </si>
  <si>
    <t>WP0777</t>
  </si>
  <si>
    <t>Kemp,Renier</t>
  </si>
  <si>
    <t>WP0294</t>
  </si>
  <si>
    <t>Weppenaar,Andre</t>
  </si>
  <si>
    <t>WP0927</t>
  </si>
  <si>
    <t>Britz,Rudi</t>
  </si>
  <si>
    <t>WP0633</t>
  </si>
  <si>
    <t>Robelo, Dylan</t>
  </si>
  <si>
    <t>WP1366</t>
  </si>
  <si>
    <t>de Pao, Romaria</t>
  </si>
  <si>
    <t>WP1303</t>
  </si>
  <si>
    <t>Van Zijl, Willie</t>
  </si>
  <si>
    <t>WP1314</t>
  </si>
  <si>
    <t>Mongie,Petrus</t>
  </si>
  <si>
    <t>WP0080</t>
  </si>
  <si>
    <t>Kingma, Raymond</t>
  </si>
  <si>
    <t>WP1260</t>
  </si>
  <si>
    <t>Noble, Mario John</t>
  </si>
  <si>
    <t>WP1232</t>
  </si>
  <si>
    <t>Maggot, Shuaa</t>
  </si>
  <si>
    <t>WP1264</t>
  </si>
  <si>
    <t>Ford, Austin</t>
  </si>
  <si>
    <t>WP1355</t>
  </si>
  <si>
    <t>Emrich, Justin</t>
  </si>
  <si>
    <t>WP1342</t>
  </si>
  <si>
    <t>Scheepers, Hennie</t>
  </si>
  <si>
    <t>WP1370</t>
  </si>
  <si>
    <t>Smeda,Gordon</t>
  </si>
  <si>
    <t>WP0308</t>
  </si>
  <si>
    <t>Mynhardt,Grant</t>
  </si>
  <si>
    <t>WP0952</t>
  </si>
  <si>
    <t>WP0343</t>
  </si>
  <si>
    <t>Le Chet, C</t>
  </si>
  <si>
    <t>WP1099</t>
  </si>
  <si>
    <t>Du Preez,JP</t>
  </si>
  <si>
    <t>WP0708</t>
  </si>
  <si>
    <t>Siebritz, Barlon</t>
  </si>
  <si>
    <t>WP1291</t>
  </si>
  <si>
    <t>Lotriet, Kyle</t>
  </si>
  <si>
    <t>WP1332</t>
  </si>
  <si>
    <t>Carstens, Johan</t>
  </si>
  <si>
    <t>WP1221</t>
  </si>
  <si>
    <t>Du Preez, Rouleen</t>
  </si>
  <si>
    <t>WP1150</t>
  </si>
  <si>
    <t>Olivier, Sebastian</t>
  </si>
  <si>
    <t>WP1211</t>
  </si>
  <si>
    <t>Daniels,Shelley Lynn</t>
  </si>
  <si>
    <t>WP0883</t>
  </si>
  <si>
    <t>Mohamed, Muneeb Ahmed</t>
  </si>
  <si>
    <t>WP1269</t>
  </si>
  <si>
    <t>Peters, Xavier</t>
  </si>
  <si>
    <t>WP1331</t>
  </si>
  <si>
    <t>Marais,Roger</t>
  </si>
  <si>
    <t>WP0685</t>
  </si>
  <si>
    <t>Van Heerden,Willie</t>
  </si>
  <si>
    <t>WP0037</t>
  </si>
  <si>
    <t>Barnard, Jorgen</t>
  </si>
  <si>
    <t>WP1177</t>
  </si>
  <si>
    <t>Naidoo,Nelson</t>
  </si>
  <si>
    <t>WP0878</t>
  </si>
  <si>
    <t>Heuvel, M</t>
  </si>
  <si>
    <t>WP1097</t>
  </si>
  <si>
    <t>Krige,Retief</t>
  </si>
  <si>
    <t>WP0025</t>
  </si>
  <si>
    <t>Waggie,Thabiet</t>
  </si>
  <si>
    <t>WP0863</t>
  </si>
  <si>
    <t>Small, Marlin</t>
  </si>
  <si>
    <t>WP1267</t>
  </si>
  <si>
    <t>Abrhams, Reggie</t>
  </si>
  <si>
    <t>WP1201</t>
  </si>
  <si>
    <t>Van Zyl, IW</t>
  </si>
  <si>
    <t>WP1317</t>
  </si>
  <si>
    <t>Linde, Luke</t>
  </si>
  <si>
    <t>WP1251</t>
  </si>
  <si>
    <t>Le Roux, Kian</t>
  </si>
  <si>
    <t>WP1288</t>
  </si>
  <si>
    <t>Steyn,Nick</t>
  </si>
  <si>
    <t>WP0063</t>
  </si>
  <si>
    <t>Macdonald,William</t>
  </si>
  <si>
    <t>WP0422</t>
  </si>
  <si>
    <t>Patton,Riedwaan</t>
  </si>
  <si>
    <t>WP0334</t>
  </si>
  <si>
    <t>Koopman, Kyle Clint</t>
  </si>
  <si>
    <t>WP1240</t>
  </si>
  <si>
    <t>Arend, Yusuf</t>
  </si>
  <si>
    <t>WP1132</t>
  </si>
  <si>
    <t>Welthagen, Corbin</t>
  </si>
  <si>
    <t>WP1313</t>
  </si>
  <si>
    <t>Espen, Matthew</t>
  </si>
  <si>
    <t>WP1188</t>
  </si>
  <si>
    <t>De Bod,Jacques</t>
  </si>
  <si>
    <t>WP0205</t>
  </si>
  <si>
    <t>Steyn, Petrus</t>
  </si>
  <si>
    <t>WP1281</t>
  </si>
  <si>
    <t>Maneveld, Jason Luke</t>
  </si>
  <si>
    <t>WP1353</t>
  </si>
  <si>
    <t>Davids,Shamieg</t>
  </si>
  <si>
    <t>WP0857</t>
  </si>
  <si>
    <t>Scholtz, Andre</t>
  </si>
  <si>
    <t>WP1330</t>
  </si>
  <si>
    <t>Strydom, Hanco</t>
  </si>
  <si>
    <t>WP1186</t>
  </si>
  <si>
    <t>Duncan, Kevin</t>
  </si>
  <si>
    <t>WP1335</t>
  </si>
  <si>
    <t>Coetzee, Emmet</t>
  </si>
  <si>
    <t>WP1184</t>
  </si>
  <si>
    <t>Oosthuizen,Hannes</t>
  </si>
  <si>
    <t>WP0202</t>
  </si>
  <si>
    <t>Van Wyk, Ean</t>
  </si>
  <si>
    <t>WP1321</t>
  </si>
  <si>
    <t>Myburgh, Righard</t>
  </si>
  <si>
    <t>WP1060</t>
  </si>
  <si>
    <t>Van Niekerk, Mcee</t>
  </si>
  <si>
    <t>WP1286</t>
  </si>
  <si>
    <t>Bowers, Ethan</t>
  </si>
  <si>
    <t>WP1252</t>
  </si>
  <si>
    <t>Nigrini, Jacques</t>
  </si>
  <si>
    <t>WP1346</t>
  </si>
  <si>
    <t>Jones, Demis</t>
  </si>
  <si>
    <t>WP1199</t>
  </si>
  <si>
    <t>Naidoo,Daelyn</t>
  </si>
  <si>
    <t>WP0923</t>
  </si>
  <si>
    <t>Louwrens,Louwtjie</t>
  </si>
  <si>
    <t>WP0734</t>
  </si>
  <si>
    <t>Loubscher,Charles</t>
  </si>
  <si>
    <t>WP0161</t>
  </si>
  <si>
    <t>Muscat,Brendan</t>
  </si>
  <si>
    <t>WP0655</t>
  </si>
  <si>
    <t>Konig, Thomas</t>
  </si>
  <si>
    <t>WP1159</t>
  </si>
  <si>
    <t>Earl, David</t>
  </si>
  <si>
    <t>WP1243</t>
  </si>
  <si>
    <t>Lourens,Petrus</t>
  </si>
  <si>
    <t>WP0882</t>
  </si>
  <si>
    <t>Addinall,Tommy</t>
  </si>
  <si>
    <t>WP0096</t>
  </si>
  <si>
    <t>Govender,Lavehn</t>
  </si>
  <si>
    <t>WP1108</t>
  </si>
  <si>
    <t>Marshall,Frank</t>
  </si>
  <si>
    <t>WP0600</t>
  </si>
  <si>
    <t>Davids, Fayyaadh</t>
  </si>
  <si>
    <t>WP1231</t>
  </si>
  <si>
    <t>Jaftha, Taydon</t>
  </si>
  <si>
    <t>WP1237</t>
  </si>
  <si>
    <t>Sauls, G</t>
  </si>
  <si>
    <t>WP1092</t>
  </si>
  <si>
    <t>Potgieter,Ryan</t>
  </si>
  <si>
    <t>WP0774</t>
  </si>
  <si>
    <t>De Bruyn, Adriaan</t>
  </si>
  <si>
    <t>WP1067</t>
  </si>
  <si>
    <t>Addinall,Barry</t>
  </si>
  <si>
    <t>WP0879</t>
  </si>
  <si>
    <t>Clarke, Yaaseen</t>
  </si>
  <si>
    <t>WP1270</t>
  </si>
  <si>
    <t>Arend, Riedwaah</t>
  </si>
  <si>
    <t>WP1131</t>
  </si>
  <si>
    <t>Nel,Carl</t>
  </si>
  <si>
    <t>WP0939</t>
  </si>
  <si>
    <t>Smeda,Mike</t>
  </si>
  <si>
    <t>WP0233</t>
  </si>
  <si>
    <t>Van Zyl, Cornel</t>
  </si>
  <si>
    <t>WP1222</t>
  </si>
  <si>
    <t>Vermaak, Ruan</t>
  </si>
  <si>
    <t>WP1324</t>
  </si>
  <si>
    <t>Orffer, PC</t>
  </si>
  <si>
    <t>WP1152</t>
  </si>
  <si>
    <t>Van Der Schyff,Moegamat Faried</t>
  </si>
  <si>
    <t>WP0776</t>
  </si>
  <si>
    <t>Jullies, Lee</t>
  </si>
  <si>
    <t>WP1271</t>
  </si>
  <si>
    <t>Le Riche, Andre</t>
  </si>
  <si>
    <t>WP1095</t>
  </si>
  <si>
    <t>Sanjay, John</t>
  </si>
  <si>
    <t>WP1133</t>
  </si>
  <si>
    <t>Loomes, John</t>
  </si>
  <si>
    <t>WP1151</t>
  </si>
  <si>
    <t>De Jongh,Philip</t>
  </si>
  <si>
    <t>WP0416</t>
  </si>
  <si>
    <t>Singh, Shalendra</t>
  </si>
  <si>
    <t>WP1333</t>
  </si>
  <si>
    <t>Daniels,Abduraghmaan</t>
  </si>
  <si>
    <t>WP0795</t>
  </si>
  <si>
    <t>Pelser,Ruanco</t>
  </si>
  <si>
    <t>WP1107</t>
  </si>
  <si>
    <t>Coetzee,Morne</t>
  </si>
  <si>
    <t>WP1273</t>
  </si>
  <si>
    <t>Naicker,Anand</t>
  </si>
  <si>
    <t>WP0033</t>
  </si>
  <si>
    <t>Du Preez,Pierre</t>
  </si>
  <si>
    <t>WP0005</t>
  </si>
  <si>
    <t>Van Wyk, Hennie</t>
  </si>
  <si>
    <t>WP1322</t>
  </si>
  <si>
    <t>Calvert,Justin</t>
  </si>
  <si>
    <t>WP0981</t>
  </si>
  <si>
    <t>Lyle, Roy</t>
  </si>
  <si>
    <t>WP1205</t>
  </si>
  <si>
    <t>Goosen,JF</t>
  </si>
  <si>
    <t>WP1204</t>
  </si>
  <si>
    <t>Jaftha, Jermaine Rydal</t>
  </si>
  <si>
    <t>WP1236</t>
  </si>
  <si>
    <t>Peters, Hermar</t>
  </si>
  <si>
    <t>WP0432</t>
  </si>
  <si>
    <t>Le Roux, Keanu</t>
  </si>
  <si>
    <t>WP1179</t>
  </si>
  <si>
    <t>Sims, Tommy</t>
  </si>
  <si>
    <t>WP1326</t>
  </si>
  <si>
    <t>Campher, Dewald</t>
  </si>
  <si>
    <t>WP0960</t>
  </si>
  <si>
    <t>Spangenberg,Renier</t>
  </si>
  <si>
    <t>WP1272</t>
  </si>
  <si>
    <t>De Jongh,Willem</t>
  </si>
  <si>
    <t>WP0074</t>
  </si>
  <si>
    <t>Beneke,Marius</t>
  </si>
  <si>
    <t>WP0634</t>
  </si>
  <si>
    <t>De Vos, Morney</t>
  </si>
  <si>
    <t>WP1255</t>
  </si>
  <si>
    <t>Samodien, Mahir</t>
  </si>
  <si>
    <t>WP1160</t>
  </si>
  <si>
    <t>Austin,Shaun</t>
  </si>
  <si>
    <t>WP0920</t>
  </si>
  <si>
    <t>Adams,Chad</t>
  </si>
  <si>
    <t>WP0886</t>
  </si>
  <si>
    <t>Du Toit, Enrico</t>
  </si>
  <si>
    <t>WP1193</t>
  </si>
  <si>
    <t>Hendricks,Winston</t>
  </si>
  <si>
    <t>WP0602</t>
  </si>
  <si>
    <t>Lamprecht,Martin</t>
  </si>
  <si>
    <t>WP1034</t>
  </si>
  <si>
    <t>Van der Berg,Steven</t>
  </si>
  <si>
    <t>WP0008</t>
  </si>
  <si>
    <t>Van Veen,Martin</t>
  </si>
  <si>
    <t>WP0169</t>
  </si>
  <si>
    <t>Giles,Davin</t>
  </si>
  <si>
    <t>WP0143</t>
  </si>
  <si>
    <t>Van Wyk,Thinus</t>
  </si>
  <si>
    <t>WP0963</t>
  </si>
  <si>
    <t>Engelke,Leonard</t>
  </si>
  <si>
    <t>WP0800</t>
  </si>
  <si>
    <t>Taliep,Mogamat Faizel</t>
  </si>
  <si>
    <t>WP0864</t>
  </si>
  <si>
    <t>Morris,Jaryd</t>
  </si>
  <si>
    <t>WP0896</t>
  </si>
  <si>
    <t>Neethling, Christiaan</t>
  </si>
  <si>
    <t>WP1285</t>
  </si>
  <si>
    <t>Nel,Paul</t>
  </si>
  <si>
    <t>WP0543</t>
  </si>
  <si>
    <t>Bailey,Travis</t>
  </si>
  <si>
    <t>WP1061</t>
  </si>
  <si>
    <t>Gillespie,Ian</t>
  </si>
  <si>
    <t>WP0451</t>
  </si>
  <si>
    <t>Toll, Clayton</t>
  </si>
  <si>
    <t>WP1262</t>
  </si>
  <si>
    <t>Visser,Micheal</t>
  </si>
  <si>
    <t>WP0873</t>
  </si>
  <si>
    <t>Lourens, Francois</t>
  </si>
  <si>
    <t>WP1367</t>
  </si>
  <si>
    <t>Callaghan, Charles</t>
  </si>
  <si>
    <t>WP1207</t>
  </si>
  <si>
    <t>Versfeld,Dean</t>
  </si>
  <si>
    <t>WP0065</t>
  </si>
  <si>
    <t>Janse Van Rensburg,Sakkie</t>
  </si>
  <si>
    <t>WP0184</t>
  </si>
  <si>
    <t>Brand,Sean</t>
  </si>
  <si>
    <t>WP0901</t>
  </si>
  <si>
    <t>Loubser, Charl</t>
  </si>
  <si>
    <t>WP1192</t>
  </si>
  <si>
    <t>Ajam, Hero</t>
  </si>
  <si>
    <t>WP1182</t>
  </si>
  <si>
    <t>Dahl,Gareth</t>
  </si>
  <si>
    <t>WP0906</t>
  </si>
  <si>
    <t>De Vos, Naythan</t>
  </si>
  <si>
    <t>WP1065</t>
  </si>
  <si>
    <t>Van Wyk, Zak</t>
  </si>
  <si>
    <t>WP1316</t>
  </si>
  <si>
    <t>Malin,Robert</t>
  </si>
  <si>
    <t>WP0752</t>
  </si>
  <si>
    <t>Bunn,Anita</t>
  </si>
  <si>
    <t>WP1007</t>
  </si>
  <si>
    <t>White,Mike</t>
  </si>
  <si>
    <t>WP0625</t>
  </si>
  <si>
    <t>Ethan,Woodman</t>
  </si>
  <si>
    <t>WP1010</t>
  </si>
  <si>
    <t>Visser,Morne</t>
  </si>
  <si>
    <t>WP0039</t>
  </si>
  <si>
    <t>Pillay, Mervin</t>
  </si>
  <si>
    <t>WP1244</t>
  </si>
  <si>
    <t>Hertz,Nico</t>
  </si>
  <si>
    <t>WP0527</t>
  </si>
  <si>
    <t>Peo, Alaine</t>
  </si>
  <si>
    <t>WP1220</t>
  </si>
  <si>
    <t>Le Chet, R</t>
  </si>
  <si>
    <t>WP1098</t>
  </si>
  <si>
    <t>Hay, GR</t>
  </si>
  <si>
    <t>WP0893</t>
  </si>
  <si>
    <t>Giliomee, Johan</t>
  </si>
  <si>
    <t>WP1181</t>
  </si>
  <si>
    <t>Van Zyl, Heinrich</t>
  </si>
  <si>
    <t>WP1312</t>
  </si>
  <si>
    <t>Kotzee, David</t>
  </si>
  <si>
    <t>WP1241</t>
  </si>
  <si>
    <t>Dahl, Keegan</t>
  </si>
  <si>
    <t>WP0956</t>
  </si>
  <si>
    <t>Herholdt,Aaron</t>
  </si>
  <si>
    <t>WP0912</t>
  </si>
  <si>
    <t>Dahl,Garth</t>
  </si>
  <si>
    <t>WP0907</t>
  </si>
  <si>
    <t>Walters, Zander</t>
  </si>
  <si>
    <t>WP1178</t>
  </si>
  <si>
    <t>Strydom,Morne</t>
  </si>
  <si>
    <t>WP1059</t>
  </si>
  <si>
    <t>Pace, Devon</t>
  </si>
  <si>
    <t>WP0714</t>
  </si>
  <si>
    <t>Osman,Azmie</t>
  </si>
  <si>
    <t>WP0635</t>
  </si>
  <si>
    <t>Huisamen, Grant Juan</t>
  </si>
  <si>
    <t>WP1287</t>
  </si>
  <si>
    <t>Behardien,Adiel</t>
  </si>
  <si>
    <t>WP0324</t>
  </si>
  <si>
    <t>Abrahams,Redewaan</t>
  </si>
  <si>
    <t>WP0321</t>
  </si>
  <si>
    <t>Cochius,Robin</t>
  </si>
  <si>
    <t>WP1053</t>
  </si>
  <si>
    <t>Van Vollenstee,Peter</t>
  </si>
  <si>
    <t>WP0500</t>
  </si>
  <si>
    <t>De Jongh,Wilhelm</t>
  </si>
  <si>
    <t>WP0030</t>
  </si>
  <si>
    <t>Groenewald,Andre</t>
  </si>
  <si>
    <t>WP0095</t>
  </si>
  <si>
    <t>De Villiers, Jacques</t>
  </si>
  <si>
    <t>WP1111</t>
  </si>
  <si>
    <t>Adams,B</t>
  </si>
  <si>
    <t>WP1041</t>
  </si>
  <si>
    <t>Geissler, UL</t>
  </si>
  <si>
    <t>WP1212</t>
  </si>
  <si>
    <t>Christians,Marc Lindsay</t>
  </si>
  <si>
    <t>WP0478</t>
  </si>
  <si>
    <t>Abbas, G</t>
  </si>
  <si>
    <t>WP1091</t>
  </si>
  <si>
    <t>Potgieter,Nick</t>
  </si>
  <si>
    <t>WP0827</t>
  </si>
  <si>
    <t>Abrahams,Saddeeq</t>
  </si>
  <si>
    <t>WP0320</t>
  </si>
  <si>
    <t>De Villiers,Andre</t>
  </si>
  <si>
    <t>WP0617</t>
  </si>
  <si>
    <t>Peters, Gerhard</t>
  </si>
  <si>
    <t>WP1185</t>
  </si>
  <si>
    <t>Cochius, Gabriel</t>
  </si>
  <si>
    <t>WP0957</t>
  </si>
  <si>
    <t>Oswin,Voget</t>
  </si>
  <si>
    <t>WP0538</t>
  </si>
  <si>
    <t>Pretorius, Rickus</t>
  </si>
  <si>
    <t>WP1242</t>
  </si>
  <si>
    <t>Van Zyl, Hermi</t>
  </si>
  <si>
    <t>WP1216</t>
  </si>
  <si>
    <t>Lloyd,Boyce</t>
  </si>
  <si>
    <t>WP0854</t>
  </si>
  <si>
    <t>Selby, Jason</t>
  </si>
  <si>
    <t>WP1257</t>
  </si>
  <si>
    <t>Conradie,Charl</t>
  </si>
  <si>
    <t>WP0073</t>
  </si>
  <si>
    <t>Schreuder,Corrie</t>
  </si>
  <si>
    <t>WP1011</t>
  </si>
  <si>
    <t>Groenewald, Adriaan S</t>
  </si>
  <si>
    <t>WP1174</t>
  </si>
  <si>
    <t>Kemp (Jnr),Thys</t>
  </si>
  <si>
    <t>WP0218</t>
  </si>
  <si>
    <t>Carstens, Chris</t>
  </si>
  <si>
    <t>WP1225</t>
  </si>
  <si>
    <t>Abrahams,Ridhwaan</t>
  </si>
  <si>
    <t>WP0755</t>
  </si>
  <si>
    <t>Chetty,Bradley</t>
  </si>
  <si>
    <t>WP1046</t>
  </si>
  <si>
    <t>Morris,Corbyn</t>
  </si>
  <si>
    <t>WP0897</t>
  </si>
  <si>
    <t>Cochius,Joshua</t>
  </si>
  <si>
    <t>WP0958</t>
  </si>
  <si>
    <t>Bester,Chris</t>
  </si>
  <si>
    <t>WP0055</t>
  </si>
  <si>
    <t>Adams,Shahiem</t>
  </si>
  <si>
    <t>WP0481</t>
  </si>
  <si>
    <t>Geissler, Franco</t>
  </si>
  <si>
    <t>WP1213</t>
  </si>
  <si>
    <t>Pace,Jacques</t>
  </si>
  <si>
    <t>WP0712</t>
  </si>
  <si>
    <t>Campher,Ashley</t>
  </si>
  <si>
    <t>WP0131</t>
  </si>
  <si>
    <t>Bailey, CT</t>
  </si>
  <si>
    <t>WP0124</t>
  </si>
  <si>
    <t>De Jongh,Gowie</t>
  </si>
  <si>
    <t>WP0042</t>
  </si>
  <si>
    <t>Conradie,Jaco</t>
  </si>
  <si>
    <t>WP0612</t>
  </si>
  <si>
    <t>Bailey,Mike</t>
  </si>
  <si>
    <t>WP0346</t>
  </si>
  <si>
    <t>Van Blommenstein,Don</t>
  </si>
  <si>
    <t>WP0656</t>
  </si>
  <si>
    <t>2023/24</t>
  </si>
  <si>
    <t>2024/25</t>
  </si>
  <si>
    <t>2025/26</t>
  </si>
  <si>
    <t>CLUB</t>
  </si>
  <si>
    <t>ANGLER</t>
  </si>
  <si>
    <t>WP #</t>
  </si>
  <si>
    <t>Points</t>
  </si>
  <si>
    <t>Position</t>
  </si>
  <si>
    <t>RANKING BASED ON 3 YEAR POINTS &amp; POSITION (50/30/20)</t>
  </si>
  <si>
    <t>Ranked Pos</t>
  </si>
  <si>
    <t>Overall Ranking</t>
  </si>
  <si>
    <t>25/26 Pos Rank</t>
  </si>
  <si>
    <t>23/24 Pos Rank</t>
  </si>
  <si>
    <t>24/25 Pos Rank</t>
  </si>
  <si>
    <t xml:space="preserve">50/30/20 Rank Point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</si>
</sst>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,##0.0"/>
  </numFmts>
  <fonts count="6" x14ac:knownFonts="1">
    <font>
      <sz val="10"/>
      <color indexed="8"/>
      <name val="MS Sans Serif"/>
    </font>
    <font>
      <sz val="10"/>
      <color indexed="8"/>
      <name val="MS Sans Serif"/>
    </font>
    <font>
      <sz val="10"/>
      <color indexed="8"/>
      <name val="Arial"/>
      <family val="2"/>
    </font>
    <font>
      <b/>
      <sz val="10"/>
      <color indexed="8"/>
      <name val="Arial"/>
      <family val="2"/>
    </font>
    <font>
      <b/>
      <sz val="10"/>
      <name val="Arial"/>
      <family val="2"/>
    </font>
    <font>
      <sz val="10"/>
      <name val="Arial"/>
      <family val="2"/>
    </font>
  </fonts>
  <fills count="14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66FFFF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1" fillId="0" borderId="0" applyNumberFormat="0" applyFont="0" applyFill="0" applyBorder="0" applyProtection="0">
      <alignment vertical="center"/>
    </xf>
  </cellStyleXfs>
  <cellXfs count="44">
    <xf numFmtId="0" fontId="0" fillId="0" borderId="0" xfId="0"/>
    <xf numFmtId="0" fontId="2" fillId="0" borderId="0" xfId="0" applyFont="1"/>
    <xf numFmtId="0" fontId="2" fillId="0" borderId="0" xfId="1" applyFont="1">
      <alignment vertical="center"/>
    </xf>
    <xf numFmtId="0" fontId="3" fillId="0" borderId="0" xfId="0" applyFont="1" applyAlignment="1">
      <alignment horizontal="left" vertical="center"/>
    </xf>
    <xf numFmtId="0" fontId="2" fillId="0" borderId="0" xfId="0" applyFont="1" applyAlignment="1">
      <alignment horizontal="center"/>
    </xf>
    <xf numFmtId="0" fontId="3" fillId="0" borderId="0" xfId="1" applyFont="1">
      <alignment vertic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3" borderId="1" xfId="1" applyFont="1" applyFill="1" applyBorder="1" applyAlignment="1">
      <alignment horizontal="center" vertical="center"/>
    </xf>
    <xf numFmtId="0" fontId="3" fillId="3" borderId="1" xfId="1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2" fillId="10" borderId="0" xfId="0" applyFont="1" applyFill="1"/>
    <xf numFmtId="0" fontId="2" fillId="10" borderId="0" xfId="0" applyFont="1" applyFill="1" applyAlignment="1">
      <alignment horizontal="center" vertical="center"/>
    </xf>
    <xf numFmtId="0" fontId="3" fillId="13" borderId="1" xfId="1" applyFont="1" applyFill="1" applyBorder="1" applyAlignment="1">
      <alignment horizontal="center" vertical="center"/>
    </xf>
    <xf numFmtId="0" fontId="3" fillId="13" borderId="1" xfId="1" applyFont="1" applyFill="1" applyBorder="1" applyAlignment="1">
      <alignment horizontal="center" vertical="center" wrapText="1"/>
    </xf>
    <xf numFmtId="0" fontId="3" fillId="12" borderId="1" xfId="1" applyFont="1" applyFill="1" applyBorder="1" applyAlignment="1">
      <alignment horizontal="center" vertical="center"/>
    </xf>
    <xf numFmtId="0" fontId="3" fillId="12" borderId="1" xfId="1" applyFont="1" applyFill="1" applyBorder="1" applyAlignment="1">
      <alignment horizontal="center" vertical="center" wrapText="1"/>
    </xf>
    <xf numFmtId="17" fontId="3" fillId="12" borderId="2" xfId="1" quotePrefix="1" applyNumberFormat="1" applyFont="1" applyFill="1" applyBorder="1" applyAlignment="1">
      <alignment horizontal="center" vertical="center"/>
    </xf>
    <xf numFmtId="17" fontId="3" fillId="12" borderId="2" xfId="1" quotePrefix="1" applyNumberFormat="1" applyFont="1" applyFill="1" applyBorder="1" applyAlignment="1">
      <alignment horizontal="center" vertical="center" wrapText="1"/>
    </xf>
    <xf numFmtId="17" fontId="3" fillId="13" borderId="2" xfId="1" quotePrefix="1" applyNumberFormat="1" applyFont="1" applyFill="1" applyBorder="1" applyAlignment="1">
      <alignment horizontal="center" vertical="center"/>
    </xf>
    <xf numFmtId="17" fontId="3" fillId="13" borderId="2" xfId="1" quotePrefix="1" applyNumberFormat="1" applyFont="1" applyFill="1" applyBorder="1" applyAlignment="1">
      <alignment horizontal="center" vertical="center" wrapText="1"/>
    </xf>
    <xf numFmtId="17" fontId="3" fillId="3" borderId="2" xfId="1" quotePrefix="1" applyNumberFormat="1" applyFont="1" applyFill="1" applyBorder="1" applyAlignment="1">
      <alignment horizontal="center" vertical="center"/>
    </xf>
    <xf numFmtId="17" fontId="3" fillId="3" borderId="2" xfId="1" quotePrefix="1" applyNumberFormat="1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/>
    </xf>
    <xf numFmtId="0" fontId="2" fillId="6" borderId="1" xfId="0" applyFont="1" applyFill="1" applyBorder="1" applyAlignment="1">
      <alignment horizontal="center" vertical="center"/>
    </xf>
    <xf numFmtId="0" fontId="2" fillId="9" borderId="1" xfId="0" applyFont="1" applyFill="1" applyBorder="1" applyAlignment="1">
      <alignment vertical="center"/>
    </xf>
    <xf numFmtId="0" fontId="2" fillId="0" borderId="1" xfId="0" applyFont="1" applyFill="1" applyBorder="1" applyAlignment="1">
      <alignment vertical="center"/>
    </xf>
    <xf numFmtId="0" fontId="2" fillId="10" borderId="1" xfId="0" applyFont="1" applyFill="1" applyBorder="1"/>
    <xf numFmtId="3" fontId="2" fillId="12" borderId="1" xfId="1" applyNumberFormat="1" applyFont="1" applyFill="1" applyBorder="1" applyAlignment="1">
      <alignment horizontal="center" vertical="center"/>
    </xf>
    <xf numFmtId="3" fontId="2" fillId="8" borderId="1" xfId="1" applyNumberFormat="1" applyFont="1" applyFill="1" applyBorder="1" applyAlignment="1">
      <alignment horizontal="center" vertical="center"/>
    </xf>
    <xf numFmtId="3" fontId="2" fillId="13" borderId="1" xfId="1" applyNumberFormat="1" applyFont="1" applyFill="1" applyBorder="1" applyAlignment="1">
      <alignment horizontal="center" vertical="center"/>
    </xf>
    <xf numFmtId="3" fontId="2" fillId="3" borderId="1" xfId="1" applyNumberFormat="1" applyFont="1" applyFill="1" applyBorder="1" applyAlignment="1">
      <alignment horizontal="center" vertical="center"/>
    </xf>
    <xf numFmtId="164" fontId="3" fillId="4" borderId="1" xfId="0" applyNumberFormat="1" applyFont="1" applyFill="1" applyBorder="1" applyAlignment="1">
      <alignment horizontal="center"/>
    </xf>
    <xf numFmtId="3" fontId="2" fillId="9" borderId="1" xfId="1" applyNumberFormat="1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3" fontId="5" fillId="8" borderId="1" xfId="1" applyNumberFormat="1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11" borderId="1" xfId="0" applyFont="1" applyFill="1" applyBorder="1" applyAlignment="1">
      <alignment vertical="center"/>
    </xf>
    <xf numFmtId="3" fontId="2" fillId="11" borderId="1" xfId="1" applyNumberFormat="1" applyFont="1" applyFill="1" applyBorder="1" applyAlignment="1">
      <alignment horizontal="center"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colors>
    <mruColors>
      <color rgb="FF00FF00"/>
      <color rgb="FF66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xmlns="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P280"/>
  <sheetViews>
    <sheetView tabSelected="1" zoomScale="82" zoomScaleNormal="82" workbookViewId="0">
      <selection activeCell="W29" sqref="W29"/>
    </sheetView>
  </sheetViews>
  <sheetFormatPr defaultRowHeight="12.75" x14ac:dyDescent="0.2"/>
  <cols>
    <col min="1" max="1" width="3.140625" style="1" customWidth="1"/>
    <col min="2" max="2" width="10.7109375" style="1" customWidth="1"/>
    <col min="3" max="3" width="13" style="4" customWidth="1"/>
    <col min="4" max="4" width="32.85546875" style="1" customWidth="1"/>
    <col min="5" max="5" width="15.28515625" style="1" customWidth="1"/>
    <col min="6" max="6" width="2" style="1" customWidth="1"/>
    <col min="7" max="8" width="12" style="2" customWidth="1"/>
    <col min="9" max="9" width="2" style="1" customWidth="1"/>
    <col min="10" max="11" width="12" style="2" customWidth="1"/>
    <col min="12" max="12" width="2" style="1" customWidth="1"/>
    <col min="13" max="13" width="12" style="2" customWidth="1"/>
    <col min="14" max="14" width="11.5703125" style="2" customWidth="1"/>
    <col min="15" max="15" width="2" style="1" customWidth="1"/>
    <col min="16" max="16" width="12.28515625" style="1" customWidth="1"/>
    <col min="17" max="17" width="9.140625" style="1" customWidth="1"/>
    <col min="18" max="16384" width="9.140625" style="1"/>
  </cols>
  <sheetData>
    <row r="2" spans="2:16" x14ac:dyDescent="0.2">
      <c r="B2" s="3" t="s">
        <v>566</v>
      </c>
      <c r="E2" s="5"/>
    </row>
    <row r="3" spans="2:16" ht="30.75" customHeight="1" x14ac:dyDescent="0.2">
      <c r="B3" s="6"/>
      <c r="G3" s="16" t="s">
        <v>564</v>
      </c>
      <c r="H3" s="17" t="s">
        <v>567</v>
      </c>
      <c r="I3" s="12"/>
      <c r="J3" s="14" t="s">
        <v>564</v>
      </c>
      <c r="K3" s="15" t="s">
        <v>567</v>
      </c>
      <c r="L3" s="12"/>
      <c r="M3" s="9" t="s">
        <v>564</v>
      </c>
      <c r="N3" s="10" t="s">
        <v>567</v>
      </c>
      <c r="O3" s="12"/>
      <c r="P3" s="11" t="s">
        <v>568</v>
      </c>
    </row>
    <row r="4" spans="2:16" ht="28.5" customHeight="1" x14ac:dyDescent="0.2">
      <c r="B4" s="7" t="s">
        <v>565</v>
      </c>
      <c r="C4" s="7" t="s">
        <v>563</v>
      </c>
      <c r="D4" s="7" t="s">
        <v>562</v>
      </c>
      <c r="E4" s="7" t="s">
        <v>561</v>
      </c>
      <c r="F4" s="8"/>
      <c r="G4" s="18" t="s">
        <v>560</v>
      </c>
      <c r="H4" s="19" t="s">
        <v>569</v>
      </c>
      <c r="I4" s="13"/>
      <c r="J4" s="20" t="s">
        <v>559</v>
      </c>
      <c r="K4" s="21" t="s">
        <v>571</v>
      </c>
      <c r="L4" s="13"/>
      <c r="M4" s="22" t="s">
        <v>558</v>
      </c>
      <c r="N4" s="23" t="s">
        <v>570</v>
      </c>
      <c r="O4" s="13"/>
      <c r="P4" s="24" t="s">
        <v>572</v>
      </c>
    </row>
    <row r="5" spans="2:16" x14ac:dyDescent="0.2">
      <c r="B5" s="25">
        <v>1</v>
      </c>
      <c r="C5" s="26" t="s">
        <v>557</v>
      </c>
      <c r="D5" s="27" t="s">
        <v>556</v>
      </c>
      <c r="E5" s="28" t="s">
        <v>9</v>
      </c>
      <c r="F5" s="29"/>
      <c r="G5" s="30">
        <v>710.24</v>
      </c>
      <c r="H5" s="31">
        <v>1</v>
      </c>
      <c r="I5" s="29"/>
      <c r="J5" s="32">
        <v>500.98</v>
      </c>
      <c r="K5" s="32">
        <v>4</v>
      </c>
      <c r="L5" s="29"/>
      <c r="M5" s="33">
        <v>870.2</v>
      </c>
      <c r="N5" s="33">
        <v>1</v>
      </c>
      <c r="O5" s="29"/>
      <c r="P5" s="34">
        <f>(H5*0.5)+(K5*0.3)+(N5*0.2)</f>
        <v>1.9</v>
      </c>
    </row>
    <row r="6" spans="2:16" x14ac:dyDescent="0.2">
      <c r="B6" s="25">
        <v>2</v>
      </c>
      <c r="C6" s="26" t="s">
        <v>553</v>
      </c>
      <c r="D6" s="27" t="s">
        <v>552</v>
      </c>
      <c r="E6" s="28" t="s">
        <v>3</v>
      </c>
      <c r="F6" s="29"/>
      <c r="G6" s="30">
        <v>462.42</v>
      </c>
      <c r="H6" s="35">
        <v>4</v>
      </c>
      <c r="I6" s="29"/>
      <c r="J6" s="32">
        <v>504.57000000000011</v>
      </c>
      <c r="K6" s="32">
        <v>3</v>
      </c>
      <c r="L6" s="29"/>
      <c r="M6" s="33">
        <v>322.34000000000003</v>
      </c>
      <c r="N6" s="33">
        <v>13</v>
      </c>
      <c r="O6" s="29"/>
      <c r="P6" s="34">
        <f>(H6*0.5)+(K6*0.3)+(N6*0.2)</f>
        <v>5.5</v>
      </c>
    </row>
    <row r="7" spans="2:16" x14ac:dyDescent="0.2">
      <c r="B7" s="25">
        <v>3</v>
      </c>
      <c r="C7" s="26" t="s">
        <v>547</v>
      </c>
      <c r="D7" s="27" t="s">
        <v>546</v>
      </c>
      <c r="E7" s="28" t="s">
        <v>9</v>
      </c>
      <c r="F7" s="29"/>
      <c r="G7" s="30">
        <v>298.54000000000002</v>
      </c>
      <c r="H7" s="31">
        <v>6</v>
      </c>
      <c r="I7" s="29"/>
      <c r="J7" s="32">
        <v>361.13</v>
      </c>
      <c r="K7" s="32">
        <v>9</v>
      </c>
      <c r="L7" s="29"/>
      <c r="M7" s="33">
        <v>429.09000000000003</v>
      </c>
      <c r="N7" s="33">
        <v>4</v>
      </c>
      <c r="O7" s="29"/>
      <c r="P7" s="34">
        <f>(H7*0.5)+(K7*0.3)+(N7*0.2)</f>
        <v>6.4999999999999991</v>
      </c>
    </row>
    <row r="8" spans="2:16" x14ac:dyDescent="0.2">
      <c r="B8" s="25">
        <v>4</v>
      </c>
      <c r="C8" s="26" t="s">
        <v>545</v>
      </c>
      <c r="D8" s="27" t="s">
        <v>544</v>
      </c>
      <c r="E8" s="28" t="s">
        <v>3</v>
      </c>
      <c r="F8" s="29"/>
      <c r="G8" s="30">
        <v>314.09000000000003</v>
      </c>
      <c r="H8" s="31">
        <v>3</v>
      </c>
      <c r="I8" s="29"/>
      <c r="J8" s="32">
        <v>320.45</v>
      </c>
      <c r="K8" s="32">
        <v>15</v>
      </c>
      <c r="L8" s="29"/>
      <c r="M8" s="33">
        <v>401.05</v>
      </c>
      <c r="N8" s="33">
        <v>8</v>
      </c>
      <c r="O8" s="29"/>
      <c r="P8" s="34">
        <f>(H8*0.5)+(K8*0.3)+(N8*0.2)</f>
        <v>7.6</v>
      </c>
    </row>
    <row r="9" spans="2:16" x14ac:dyDescent="0.2">
      <c r="B9" s="25">
        <v>5</v>
      </c>
      <c r="C9" s="26" t="s">
        <v>555</v>
      </c>
      <c r="D9" s="27" t="s">
        <v>554</v>
      </c>
      <c r="E9" s="28" t="s">
        <v>20</v>
      </c>
      <c r="F9" s="29"/>
      <c r="G9" s="30">
        <v>567.11</v>
      </c>
      <c r="H9" s="31">
        <v>10</v>
      </c>
      <c r="I9" s="29"/>
      <c r="J9" s="32">
        <v>562.36</v>
      </c>
      <c r="K9" s="32">
        <v>1</v>
      </c>
      <c r="L9" s="29"/>
      <c r="M9" s="33">
        <v>294.38</v>
      </c>
      <c r="N9" s="33">
        <v>17</v>
      </c>
      <c r="O9" s="29"/>
      <c r="P9" s="34">
        <f>(H9*0.5)+(K9*0.3)+(N9*0.2)</f>
        <v>8.6999999999999993</v>
      </c>
    </row>
    <row r="10" spans="2:16" x14ac:dyDescent="0.2">
      <c r="B10" s="25">
        <v>6</v>
      </c>
      <c r="C10" s="26" t="s">
        <v>533</v>
      </c>
      <c r="D10" s="27" t="s">
        <v>532</v>
      </c>
      <c r="E10" s="28" t="s">
        <v>0</v>
      </c>
      <c r="F10" s="29"/>
      <c r="G10" s="30">
        <v>275.2</v>
      </c>
      <c r="H10" s="31">
        <v>9</v>
      </c>
      <c r="I10" s="29"/>
      <c r="J10" s="32">
        <v>351.74</v>
      </c>
      <c r="K10" s="32">
        <v>10</v>
      </c>
      <c r="L10" s="29"/>
      <c r="M10" s="33">
        <v>227.59</v>
      </c>
      <c r="N10" s="33">
        <v>30</v>
      </c>
      <c r="O10" s="29"/>
      <c r="P10" s="34">
        <f>(H10*0.5)+(K10*0.3)+(N10*0.2)</f>
        <v>13.5</v>
      </c>
    </row>
    <row r="11" spans="2:16" x14ac:dyDescent="0.2">
      <c r="B11" s="25">
        <v>7</v>
      </c>
      <c r="C11" s="26" t="s">
        <v>551</v>
      </c>
      <c r="D11" s="27" t="s">
        <v>550</v>
      </c>
      <c r="E11" s="28" t="s">
        <v>3</v>
      </c>
      <c r="F11" s="29"/>
      <c r="G11" s="30">
        <v>267.27000000000004</v>
      </c>
      <c r="H11" s="31">
        <v>28</v>
      </c>
      <c r="I11" s="29"/>
      <c r="J11" s="32">
        <v>532.72</v>
      </c>
      <c r="K11" s="32">
        <v>2</v>
      </c>
      <c r="L11" s="29"/>
      <c r="M11" s="33">
        <v>648.22</v>
      </c>
      <c r="N11" s="33">
        <v>2</v>
      </c>
      <c r="O11" s="29"/>
      <c r="P11" s="34">
        <f>(H11*0.5)+(K11*0.3)+(N11*0.2)</f>
        <v>15</v>
      </c>
    </row>
    <row r="12" spans="2:16" x14ac:dyDescent="0.2">
      <c r="B12" s="25">
        <v>8</v>
      </c>
      <c r="C12" s="26" t="s">
        <v>539</v>
      </c>
      <c r="D12" s="27" t="s">
        <v>538</v>
      </c>
      <c r="E12" s="28" t="s">
        <v>9</v>
      </c>
      <c r="F12" s="29"/>
      <c r="G12" s="30">
        <v>296.86</v>
      </c>
      <c r="H12" s="35">
        <v>12</v>
      </c>
      <c r="I12" s="29"/>
      <c r="J12" s="32">
        <v>306.32</v>
      </c>
      <c r="K12" s="32">
        <v>19</v>
      </c>
      <c r="L12" s="29"/>
      <c r="M12" s="33">
        <v>266.02000000000004</v>
      </c>
      <c r="N12" s="33">
        <v>22</v>
      </c>
      <c r="O12" s="29"/>
      <c r="P12" s="34">
        <f>(H12*0.5)+(K12*0.3)+(N12*0.2)</f>
        <v>16.100000000000001</v>
      </c>
    </row>
    <row r="13" spans="2:16" x14ac:dyDescent="0.2">
      <c r="B13" s="25">
        <v>9</v>
      </c>
      <c r="C13" s="36" t="s">
        <v>523</v>
      </c>
      <c r="D13" s="27" t="s">
        <v>522</v>
      </c>
      <c r="E13" s="28" t="s">
        <v>3</v>
      </c>
      <c r="F13" s="29"/>
      <c r="G13" s="30">
        <v>201.08</v>
      </c>
      <c r="H13" s="31">
        <v>20</v>
      </c>
      <c r="I13" s="29"/>
      <c r="J13" s="32">
        <v>254.54000000000005</v>
      </c>
      <c r="K13" s="32">
        <v>32</v>
      </c>
      <c r="L13" s="29"/>
      <c r="M13" s="33">
        <v>410.2700000000001</v>
      </c>
      <c r="N13" s="33">
        <v>5</v>
      </c>
      <c r="O13" s="29"/>
      <c r="P13" s="34">
        <f>(H13*0.5)+(K13*0.3)+(N13*0.2)</f>
        <v>20.6</v>
      </c>
    </row>
    <row r="14" spans="2:16" x14ac:dyDescent="0.2">
      <c r="B14" s="25">
        <v>10</v>
      </c>
      <c r="C14" s="36" t="s">
        <v>541</v>
      </c>
      <c r="D14" s="27" t="s">
        <v>540</v>
      </c>
      <c r="E14" s="28" t="s">
        <v>6</v>
      </c>
      <c r="F14" s="29"/>
      <c r="G14" s="30">
        <v>268.91000000000003</v>
      </c>
      <c r="H14" s="31">
        <v>17</v>
      </c>
      <c r="I14" s="29"/>
      <c r="J14" s="32">
        <v>218.8</v>
      </c>
      <c r="K14" s="32">
        <v>42</v>
      </c>
      <c r="L14" s="29"/>
      <c r="M14" s="33">
        <v>548.26</v>
      </c>
      <c r="N14" s="33">
        <v>3</v>
      </c>
      <c r="O14" s="29"/>
      <c r="P14" s="34">
        <f>(H14*0.5)+(K14*0.3)+(N14*0.2)</f>
        <v>21.700000000000003</v>
      </c>
    </row>
    <row r="15" spans="2:16" x14ac:dyDescent="0.2">
      <c r="B15" s="25">
        <v>11</v>
      </c>
      <c r="C15" s="36" t="s">
        <v>521</v>
      </c>
      <c r="D15" s="27" t="s">
        <v>520</v>
      </c>
      <c r="E15" s="28" t="s">
        <v>3</v>
      </c>
      <c r="F15" s="29"/>
      <c r="G15" s="30">
        <v>214.47</v>
      </c>
      <c r="H15" s="31">
        <v>13</v>
      </c>
      <c r="I15" s="29"/>
      <c r="J15" s="32">
        <v>253.47</v>
      </c>
      <c r="K15" s="32">
        <v>33</v>
      </c>
      <c r="L15" s="29"/>
      <c r="M15" s="33">
        <v>248.12</v>
      </c>
      <c r="N15" s="33">
        <v>27</v>
      </c>
      <c r="O15" s="29"/>
      <c r="P15" s="34">
        <f>(H15*0.5)+(K15*0.3)+(N15*0.2)</f>
        <v>21.799999999999997</v>
      </c>
    </row>
    <row r="16" spans="2:16" x14ac:dyDescent="0.2">
      <c r="B16" s="25">
        <v>12</v>
      </c>
      <c r="C16" s="36" t="s">
        <v>515</v>
      </c>
      <c r="D16" s="27" t="s">
        <v>514</v>
      </c>
      <c r="E16" s="28" t="s">
        <v>3</v>
      </c>
      <c r="F16" s="29"/>
      <c r="G16" s="30">
        <v>222.43</v>
      </c>
      <c r="H16" s="31">
        <v>7</v>
      </c>
      <c r="I16" s="29"/>
      <c r="J16" s="32">
        <v>313.40000000000003</v>
      </c>
      <c r="K16" s="32">
        <v>16</v>
      </c>
      <c r="L16" s="29"/>
      <c r="M16" s="33">
        <v>126.75</v>
      </c>
      <c r="N16" s="33">
        <v>69</v>
      </c>
      <c r="O16" s="29"/>
      <c r="P16" s="34">
        <f>(H16*0.5)+(K16*0.3)+(N16*0.2)</f>
        <v>22.1</v>
      </c>
    </row>
    <row r="17" spans="2:16" x14ac:dyDescent="0.2">
      <c r="B17" s="25">
        <v>13</v>
      </c>
      <c r="C17" s="26" t="s">
        <v>531</v>
      </c>
      <c r="D17" s="27" t="s">
        <v>530</v>
      </c>
      <c r="E17" s="28" t="s">
        <v>44</v>
      </c>
      <c r="F17" s="29"/>
      <c r="G17" s="30">
        <v>229.73000000000002</v>
      </c>
      <c r="H17" s="31">
        <v>30</v>
      </c>
      <c r="I17" s="29"/>
      <c r="J17" s="32">
        <v>301.18</v>
      </c>
      <c r="K17" s="32">
        <v>22</v>
      </c>
      <c r="L17" s="29"/>
      <c r="M17" s="33">
        <v>353.81</v>
      </c>
      <c r="N17" s="33">
        <v>9</v>
      </c>
      <c r="O17" s="29"/>
      <c r="P17" s="34">
        <f>(H17*0.5)+(K17*0.3)+(N17*0.2)</f>
        <v>23.400000000000002</v>
      </c>
    </row>
    <row r="18" spans="2:16" x14ac:dyDescent="0.2">
      <c r="B18" s="25">
        <v>14</v>
      </c>
      <c r="C18" s="36" t="s">
        <v>525</v>
      </c>
      <c r="D18" s="27" t="s">
        <v>524</v>
      </c>
      <c r="E18" s="28" t="s">
        <v>3</v>
      </c>
      <c r="F18" s="29"/>
      <c r="G18" s="30">
        <v>267.66000000000003</v>
      </c>
      <c r="H18" s="31">
        <v>18</v>
      </c>
      <c r="I18" s="29"/>
      <c r="J18" s="32">
        <v>295.53000000000003</v>
      </c>
      <c r="K18" s="32">
        <v>23</v>
      </c>
      <c r="L18" s="29"/>
      <c r="M18" s="33">
        <v>185.88</v>
      </c>
      <c r="N18" s="33">
        <v>41</v>
      </c>
      <c r="O18" s="29"/>
      <c r="P18" s="34">
        <f>(H18*0.5)+(K18*0.3)+(N18*0.2)</f>
        <v>24.1</v>
      </c>
    </row>
    <row r="19" spans="2:16" x14ac:dyDescent="0.2">
      <c r="B19" s="25">
        <v>15</v>
      </c>
      <c r="C19" s="36" t="s">
        <v>517</v>
      </c>
      <c r="D19" s="27" t="s">
        <v>516</v>
      </c>
      <c r="E19" s="28" t="s">
        <v>44</v>
      </c>
      <c r="F19" s="29"/>
      <c r="G19" s="30">
        <v>213.02</v>
      </c>
      <c r="H19" s="31">
        <v>19</v>
      </c>
      <c r="I19" s="29"/>
      <c r="J19" s="32">
        <v>240.05</v>
      </c>
      <c r="K19" s="32">
        <v>36</v>
      </c>
      <c r="L19" s="29"/>
      <c r="M19" s="33">
        <v>266.95</v>
      </c>
      <c r="N19" s="33">
        <v>21</v>
      </c>
      <c r="O19" s="29"/>
      <c r="P19" s="34">
        <f>(H19*0.5)+(K19*0.3)+(N19*0.2)</f>
        <v>24.499999999999996</v>
      </c>
    </row>
    <row r="20" spans="2:16" x14ac:dyDescent="0.2">
      <c r="B20" s="25">
        <v>16</v>
      </c>
      <c r="C20" s="37" t="s">
        <v>505</v>
      </c>
      <c r="D20" s="27" t="s">
        <v>504</v>
      </c>
      <c r="E20" s="28" t="s">
        <v>44</v>
      </c>
      <c r="F20" s="29"/>
      <c r="G20" s="30">
        <v>206.42000000000002</v>
      </c>
      <c r="H20" s="31">
        <v>16</v>
      </c>
      <c r="I20" s="29"/>
      <c r="J20" s="32">
        <v>213.06</v>
      </c>
      <c r="K20" s="32">
        <v>43</v>
      </c>
      <c r="L20" s="29"/>
      <c r="M20" s="33">
        <v>203.49</v>
      </c>
      <c r="N20" s="33">
        <v>35</v>
      </c>
      <c r="O20" s="29"/>
      <c r="P20" s="34">
        <f>(H20*0.5)+(K20*0.3)+(N20*0.2)</f>
        <v>27.9</v>
      </c>
    </row>
    <row r="21" spans="2:16" x14ac:dyDescent="0.2">
      <c r="B21" s="25">
        <v>17</v>
      </c>
      <c r="C21" s="36" t="s">
        <v>549</v>
      </c>
      <c r="D21" s="27" t="s">
        <v>548</v>
      </c>
      <c r="E21" s="28" t="s">
        <v>20</v>
      </c>
      <c r="F21" s="29"/>
      <c r="G21" s="30">
        <v>633.22</v>
      </c>
      <c r="H21" s="35">
        <v>2</v>
      </c>
      <c r="I21" s="29"/>
      <c r="J21" s="32">
        <v>246.38000000000005</v>
      </c>
      <c r="K21" s="32">
        <v>35</v>
      </c>
      <c r="L21" s="29"/>
      <c r="M21" s="33">
        <v>100.66000000000003</v>
      </c>
      <c r="N21" s="33">
        <v>90</v>
      </c>
      <c r="O21" s="29"/>
      <c r="P21" s="34">
        <f>(H21*0.5)+(K21*0.3)+(N21*0.2)</f>
        <v>29.5</v>
      </c>
    </row>
    <row r="22" spans="2:16" x14ac:dyDescent="0.2">
      <c r="B22" s="25">
        <v>18</v>
      </c>
      <c r="C22" s="36" t="s">
        <v>543</v>
      </c>
      <c r="D22" s="27" t="s">
        <v>542</v>
      </c>
      <c r="E22" s="28" t="s">
        <v>3</v>
      </c>
      <c r="F22" s="29"/>
      <c r="G22" s="30">
        <v>403.98</v>
      </c>
      <c r="H22" s="31">
        <v>14</v>
      </c>
      <c r="I22" s="29"/>
      <c r="J22" s="32">
        <v>348.71</v>
      </c>
      <c r="K22" s="32">
        <v>12</v>
      </c>
      <c r="L22" s="29"/>
      <c r="M22" s="33">
        <v>92.79</v>
      </c>
      <c r="N22" s="33">
        <v>97</v>
      </c>
      <c r="O22" s="29"/>
      <c r="P22" s="34">
        <f>(H22*0.5)+(K22*0.3)+(N22*0.2)</f>
        <v>30</v>
      </c>
    </row>
    <row r="23" spans="2:16" x14ac:dyDescent="0.2">
      <c r="B23" s="25">
        <v>19</v>
      </c>
      <c r="C23" s="37" t="s">
        <v>491</v>
      </c>
      <c r="D23" s="27" t="s">
        <v>490</v>
      </c>
      <c r="E23" s="28" t="s">
        <v>0</v>
      </c>
      <c r="F23" s="29"/>
      <c r="G23" s="30">
        <v>113.13000000000002</v>
      </c>
      <c r="H23" s="31">
        <v>44</v>
      </c>
      <c r="I23" s="29"/>
      <c r="J23" s="32">
        <v>274.12</v>
      </c>
      <c r="K23" s="32">
        <v>25</v>
      </c>
      <c r="L23" s="29"/>
      <c r="M23" s="33">
        <v>179.07000000000005</v>
      </c>
      <c r="N23" s="33">
        <v>45</v>
      </c>
      <c r="O23" s="29"/>
      <c r="P23" s="34">
        <f>(H23*0.5)+(K23*0.3)+(N23*0.2)</f>
        <v>38.5</v>
      </c>
    </row>
    <row r="24" spans="2:16" x14ac:dyDescent="0.2">
      <c r="B24" s="25">
        <v>20</v>
      </c>
      <c r="C24" s="37" t="s">
        <v>527</v>
      </c>
      <c r="D24" s="27" t="s">
        <v>526</v>
      </c>
      <c r="E24" s="28" t="s">
        <v>9</v>
      </c>
      <c r="F24" s="29"/>
      <c r="G24" s="30">
        <v>294.12</v>
      </c>
      <c r="H24" s="31">
        <v>15</v>
      </c>
      <c r="I24" s="29"/>
      <c r="J24" s="32">
        <v>349.36</v>
      </c>
      <c r="K24" s="32">
        <v>11</v>
      </c>
      <c r="L24" s="29"/>
      <c r="M24" s="33">
        <v>49.54</v>
      </c>
      <c r="N24" s="33">
        <v>141</v>
      </c>
      <c r="O24" s="29"/>
      <c r="P24" s="34">
        <f>(H24*0.5)+(K24*0.3)+(N24*0.2)</f>
        <v>39</v>
      </c>
    </row>
    <row r="25" spans="2:16" x14ac:dyDescent="0.2">
      <c r="B25" s="25">
        <v>21</v>
      </c>
      <c r="C25" s="37" t="s">
        <v>499</v>
      </c>
      <c r="D25" s="27" t="s">
        <v>498</v>
      </c>
      <c r="E25" s="28" t="s">
        <v>6</v>
      </c>
      <c r="F25" s="29"/>
      <c r="G25" s="30">
        <v>180.97</v>
      </c>
      <c r="H25" s="31">
        <v>31</v>
      </c>
      <c r="I25" s="29"/>
      <c r="J25" s="32">
        <v>209.81</v>
      </c>
      <c r="K25" s="32">
        <v>45</v>
      </c>
      <c r="L25" s="29"/>
      <c r="M25" s="33">
        <v>169.14000000000001</v>
      </c>
      <c r="N25" s="33">
        <v>51</v>
      </c>
      <c r="O25" s="29"/>
      <c r="P25" s="34">
        <f>(H25*0.5)+(K25*0.3)+(N25*0.2)</f>
        <v>39.200000000000003</v>
      </c>
    </row>
    <row r="26" spans="2:16" x14ac:dyDescent="0.2">
      <c r="B26" s="25">
        <v>22</v>
      </c>
      <c r="C26" s="37" t="s">
        <v>509</v>
      </c>
      <c r="D26" s="27" t="s">
        <v>508</v>
      </c>
      <c r="E26" s="28" t="s">
        <v>20</v>
      </c>
      <c r="F26" s="29"/>
      <c r="G26" s="30">
        <v>301.01</v>
      </c>
      <c r="H26" s="31">
        <v>8</v>
      </c>
      <c r="I26" s="29"/>
      <c r="J26" s="32">
        <v>150.89000000000001</v>
      </c>
      <c r="K26" s="32">
        <v>79</v>
      </c>
      <c r="L26" s="29"/>
      <c r="M26" s="33">
        <v>139.24</v>
      </c>
      <c r="N26" s="33">
        <v>60</v>
      </c>
      <c r="O26" s="29"/>
      <c r="P26" s="34">
        <f>(H26*0.5)+(K26*0.3)+(N26*0.2)</f>
        <v>39.700000000000003</v>
      </c>
    </row>
    <row r="27" spans="2:16" x14ac:dyDescent="0.2">
      <c r="B27" s="25">
        <v>23</v>
      </c>
      <c r="C27" s="37" t="s">
        <v>497</v>
      </c>
      <c r="D27" s="27" t="s">
        <v>496</v>
      </c>
      <c r="E27" s="28" t="s">
        <v>6</v>
      </c>
      <c r="F27" s="29"/>
      <c r="G27" s="30">
        <v>200.23000000000002</v>
      </c>
      <c r="H27" s="31">
        <v>27</v>
      </c>
      <c r="I27" s="29"/>
      <c r="J27" s="32">
        <v>184.35000000000005</v>
      </c>
      <c r="K27" s="32">
        <v>57</v>
      </c>
      <c r="L27" s="29"/>
      <c r="M27" s="33">
        <v>153.94</v>
      </c>
      <c r="N27" s="33">
        <v>54</v>
      </c>
      <c r="O27" s="29"/>
      <c r="P27" s="34">
        <f>(H27*0.5)+(K27*0.3)+(N27*0.2)</f>
        <v>41.4</v>
      </c>
    </row>
    <row r="28" spans="2:16" x14ac:dyDescent="0.2">
      <c r="B28" s="25">
        <v>24</v>
      </c>
      <c r="C28" s="37" t="s">
        <v>537</v>
      </c>
      <c r="D28" s="27" t="s">
        <v>536</v>
      </c>
      <c r="E28" s="28" t="s">
        <v>20</v>
      </c>
      <c r="F28" s="29"/>
      <c r="G28" s="30">
        <v>417.7700000000001</v>
      </c>
      <c r="H28" s="31">
        <v>21</v>
      </c>
      <c r="I28" s="29"/>
      <c r="J28" s="32">
        <v>127</v>
      </c>
      <c r="K28" s="32">
        <v>94</v>
      </c>
      <c r="L28" s="29"/>
      <c r="M28" s="33">
        <v>222.38000000000005</v>
      </c>
      <c r="N28" s="33">
        <v>32</v>
      </c>
      <c r="O28" s="29"/>
      <c r="P28" s="34">
        <f>(H28*0.5)+(K28*0.3)+(N28*0.2)</f>
        <v>45.1</v>
      </c>
    </row>
    <row r="29" spans="2:16" x14ac:dyDescent="0.2">
      <c r="B29" s="25">
        <v>25</v>
      </c>
      <c r="C29" s="37" t="s">
        <v>489</v>
      </c>
      <c r="D29" s="27" t="s">
        <v>488</v>
      </c>
      <c r="E29" s="28" t="s">
        <v>3</v>
      </c>
      <c r="F29" s="29"/>
      <c r="G29" s="30">
        <v>158.53</v>
      </c>
      <c r="H29" s="31">
        <v>37</v>
      </c>
      <c r="I29" s="29"/>
      <c r="J29" s="32">
        <v>176.71</v>
      </c>
      <c r="K29" s="32">
        <v>64</v>
      </c>
      <c r="L29" s="29"/>
      <c r="M29" s="33">
        <v>190.71</v>
      </c>
      <c r="N29" s="33">
        <v>37</v>
      </c>
      <c r="O29" s="29"/>
      <c r="P29" s="34">
        <f>(H29*0.5)+(K29*0.3)+(N29*0.2)</f>
        <v>45.1</v>
      </c>
    </row>
    <row r="30" spans="2:16" x14ac:dyDescent="0.2">
      <c r="B30" s="25">
        <v>26</v>
      </c>
      <c r="C30" s="36" t="s">
        <v>529</v>
      </c>
      <c r="D30" s="27" t="s">
        <v>528</v>
      </c>
      <c r="E30" s="28" t="s">
        <v>3</v>
      </c>
      <c r="F30" s="29"/>
      <c r="G30" s="30">
        <v>181.65</v>
      </c>
      <c r="H30" s="31">
        <v>82</v>
      </c>
      <c r="I30" s="29"/>
      <c r="J30" s="32">
        <v>376.73</v>
      </c>
      <c r="K30" s="32">
        <v>7</v>
      </c>
      <c r="L30" s="29"/>
      <c r="M30" s="33">
        <v>346.91</v>
      </c>
      <c r="N30" s="33">
        <v>11</v>
      </c>
      <c r="O30" s="29"/>
      <c r="P30" s="34">
        <f>(H30*0.5)+(K30*0.3)+(N30*0.2)</f>
        <v>45.300000000000004</v>
      </c>
    </row>
    <row r="31" spans="2:16" x14ac:dyDescent="0.2">
      <c r="B31" s="25">
        <v>27</v>
      </c>
      <c r="C31" s="36" t="s">
        <v>513</v>
      </c>
      <c r="D31" s="27" t="s">
        <v>512</v>
      </c>
      <c r="E31" s="28" t="s">
        <v>44</v>
      </c>
      <c r="F31" s="29"/>
      <c r="G31" s="30">
        <v>180.19</v>
      </c>
      <c r="H31" s="31">
        <v>69</v>
      </c>
      <c r="I31" s="29"/>
      <c r="J31" s="32">
        <v>324.24</v>
      </c>
      <c r="K31" s="32">
        <v>14</v>
      </c>
      <c r="L31" s="29"/>
      <c r="M31" s="33">
        <v>201.33</v>
      </c>
      <c r="N31" s="33">
        <v>36</v>
      </c>
      <c r="O31" s="29"/>
      <c r="P31" s="34">
        <f>(H31*0.5)+(K31*0.3)+(N31*0.2)</f>
        <v>45.900000000000006</v>
      </c>
    </row>
    <row r="32" spans="2:16" x14ac:dyDescent="0.2">
      <c r="B32" s="25">
        <v>28</v>
      </c>
      <c r="C32" s="37" t="s">
        <v>507</v>
      </c>
      <c r="D32" s="27" t="s">
        <v>506</v>
      </c>
      <c r="E32" s="28" t="s">
        <v>9</v>
      </c>
      <c r="F32" s="29"/>
      <c r="G32" s="30">
        <v>205.75</v>
      </c>
      <c r="H32" s="31">
        <v>45</v>
      </c>
      <c r="I32" s="29"/>
      <c r="J32" s="32">
        <v>160.79000000000002</v>
      </c>
      <c r="K32" s="32">
        <v>74</v>
      </c>
      <c r="L32" s="29"/>
      <c r="M32" s="33">
        <v>304.34000000000003</v>
      </c>
      <c r="N32" s="33">
        <v>14</v>
      </c>
      <c r="O32" s="29"/>
      <c r="P32" s="34">
        <f>(H32*0.5)+(K32*0.3)+(N32*0.2)</f>
        <v>47.5</v>
      </c>
    </row>
    <row r="33" spans="2:16" x14ac:dyDescent="0.2">
      <c r="B33" s="25">
        <v>29</v>
      </c>
      <c r="C33" s="38" t="s">
        <v>467</v>
      </c>
      <c r="D33" s="27" t="s">
        <v>466</v>
      </c>
      <c r="E33" s="28" t="s">
        <v>20</v>
      </c>
      <c r="F33" s="29"/>
      <c r="G33" s="30">
        <v>143.48000000000002</v>
      </c>
      <c r="H33" s="31">
        <v>34</v>
      </c>
      <c r="I33" s="29"/>
      <c r="J33" s="32">
        <v>223.36</v>
      </c>
      <c r="K33" s="32">
        <v>41</v>
      </c>
      <c r="L33" s="29"/>
      <c r="M33" s="33">
        <v>99.19</v>
      </c>
      <c r="N33" s="33">
        <v>91</v>
      </c>
      <c r="O33" s="29"/>
      <c r="P33" s="34">
        <f>(H33*0.5)+(K33*0.3)+(N33*0.2)</f>
        <v>47.5</v>
      </c>
    </row>
    <row r="34" spans="2:16" x14ac:dyDescent="0.2">
      <c r="B34" s="25">
        <v>30</v>
      </c>
      <c r="C34" s="38" t="s">
        <v>483</v>
      </c>
      <c r="D34" s="27" t="s">
        <v>482</v>
      </c>
      <c r="E34" s="28" t="s">
        <v>20</v>
      </c>
      <c r="F34" s="29"/>
      <c r="G34" s="30">
        <v>192.88</v>
      </c>
      <c r="H34" s="31">
        <v>23</v>
      </c>
      <c r="I34" s="29"/>
      <c r="J34" s="32">
        <v>162.07000000000002</v>
      </c>
      <c r="K34" s="32">
        <v>72</v>
      </c>
      <c r="L34" s="29"/>
      <c r="M34" s="33">
        <v>105.62</v>
      </c>
      <c r="N34" s="33">
        <v>85</v>
      </c>
      <c r="O34" s="29"/>
      <c r="P34" s="34">
        <f>(H34*0.5)+(K34*0.3)+(N34*0.2)</f>
        <v>50.099999999999994</v>
      </c>
    </row>
    <row r="35" spans="2:16" x14ac:dyDescent="0.2">
      <c r="B35" s="25">
        <v>31</v>
      </c>
      <c r="C35" s="26" t="s">
        <v>479</v>
      </c>
      <c r="D35" s="27" t="s">
        <v>478</v>
      </c>
      <c r="E35" s="28" t="s">
        <v>6</v>
      </c>
      <c r="F35" s="29"/>
      <c r="G35" s="30">
        <v>105.60000000000001</v>
      </c>
      <c r="H35" s="31">
        <v>62</v>
      </c>
      <c r="I35" s="29"/>
      <c r="J35" s="32">
        <v>249.01000000000005</v>
      </c>
      <c r="K35" s="32">
        <v>34</v>
      </c>
      <c r="L35" s="29"/>
      <c r="M35" s="33">
        <v>178.71</v>
      </c>
      <c r="N35" s="33">
        <v>46</v>
      </c>
      <c r="O35" s="29"/>
      <c r="P35" s="34">
        <f>(H35*0.5)+(K35*0.3)+(N35*0.2)</f>
        <v>50.400000000000006</v>
      </c>
    </row>
    <row r="36" spans="2:16" x14ac:dyDescent="0.2">
      <c r="B36" s="25">
        <v>32</v>
      </c>
      <c r="C36" s="38" t="s">
        <v>511</v>
      </c>
      <c r="D36" s="27" t="s">
        <v>510</v>
      </c>
      <c r="E36" s="28" t="s">
        <v>20</v>
      </c>
      <c r="F36" s="29"/>
      <c r="G36" s="30">
        <v>335.06</v>
      </c>
      <c r="H36" s="31">
        <v>5</v>
      </c>
      <c r="I36" s="29"/>
      <c r="J36" s="32">
        <v>131.6</v>
      </c>
      <c r="K36" s="32">
        <v>92</v>
      </c>
      <c r="L36" s="29"/>
      <c r="M36" s="33">
        <v>83.28</v>
      </c>
      <c r="N36" s="33">
        <v>102</v>
      </c>
      <c r="O36" s="29"/>
      <c r="P36" s="34">
        <f>(H36*0.5)+(K36*0.3)+(N36*0.2)</f>
        <v>50.5</v>
      </c>
    </row>
    <row r="37" spans="2:16" x14ac:dyDescent="0.2">
      <c r="B37" s="25">
        <v>33</v>
      </c>
      <c r="C37" s="26" t="s">
        <v>535</v>
      </c>
      <c r="D37" s="27" t="s">
        <v>534</v>
      </c>
      <c r="E37" s="28" t="s">
        <v>9</v>
      </c>
      <c r="F37" s="29"/>
      <c r="G37" s="30">
        <v>206.18</v>
      </c>
      <c r="H37" s="31">
        <v>97</v>
      </c>
      <c r="I37" s="29"/>
      <c r="J37" s="32">
        <v>445.23</v>
      </c>
      <c r="K37" s="32">
        <v>5</v>
      </c>
      <c r="L37" s="29"/>
      <c r="M37" s="33">
        <v>261.99</v>
      </c>
      <c r="N37" s="33">
        <v>24</v>
      </c>
      <c r="O37" s="29"/>
      <c r="P37" s="34">
        <f>(H37*0.5)+(K37*0.3)+(N37*0.2)</f>
        <v>54.8</v>
      </c>
    </row>
    <row r="38" spans="2:16" x14ac:dyDescent="0.2">
      <c r="B38" s="25">
        <v>34</v>
      </c>
      <c r="C38" s="38" t="s">
        <v>503</v>
      </c>
      <c r="D38" s="27" t="s">
        <v>502</v>
      </c>
      <c r="E38" s="28" t="s">
        <v>44</v>
      </c>
      <c r="F38" s="29"/>
      <c r="G38" s="30">
        <v>101.85000000000001</v>
      </c>
      <c r="H38" s="31">
        <v>93</v>
      </c>
      <c r="I38" s="29"/>
      <c r="J38" s="32">
        <v>303.89</v>
      </c>
      <c r="K38" s="32">
        <v>20</v>
      </c>
      <c r="L38" s="29"/>
      <c r="M38" s="33">
        <v>264.08000000000004</v>
      </c>
      <c r="N38" s="33">
        <v>23</v>
      </c>
      <c r="O38" s="29"/>
      <c r="P38" s="34">
        <f>(H38*0.5)+(K38*0.3)+(N38*0.2)</f>
        <v>57.1</v>
      </c>
    </row>
    <row r="39" spans="2:16" x14ac:dyDescent="0.2">
      <c r="B39" s="25">
        <v>35</v>
      </c>
      <c r="C39" s="38" t="s">
        <v>493</v>
      </c>
      <c r="D39" s="27" t="s">
        <v>492</v>
      </c>
      <c r="E39" s="28" t="s">
        <v>0</v>
      </c>
      <c r="F39" s="29"/>
      <c r="G39" s="30">
        <v>144.75</v>
      </c>
      <c r="H39" s="31">
        <v>52</v>
      </c>
      <c r="I39" s="29"/>
      <c r="J39" s="32">
        <v>117.30000000000003</v>
      </c>
      <c r="K39" s="32">
        <v>99</v>
      </c>
      <c r="L39" s="29"/>
      <c r="M39" s="33">
        <v>340.51</v>
      </c>
      <c r="N39" s="33">
        <v>12</v>
      </c>
      <c r="O39" s="29"/>
      <c r="P39" s="34">
        <f>(H39*0.5)+(K39*0.3)+(N39*0.2)</f>
        <v>58.1</v>
      </c>
    </row>
    <row r="40" spans="2:16" x14ac:dyDescent="0.2">
      <c r="B40" s="25">
        <v>36</v>
      </c>
      <c r="C40" s="26" t="s">
        <v>445</v>
      </c>
      <c r="D40" s="27" t="s">
        <v>444</v>
      </c>
      <c r="E40" s="28" t="s">
        <v>3</v>
      </c>
      <c r="F40" s="29"/>
      <c r="G40" s="30">
        <v>135.44</v>
      </c>
      <c r="H40" s="31">
        <v>40</v>
      </c>
      <c r="I40" s="29"/>
      <c r="J40" s="32">
        <v>136.42000000000002</v>
      </c>
      <c r="K40" s="32">
        <v>88</v>
      </c>
      <c r="L40" s="29"/>
      <c r="M40" s="33">
        <v>137.62</v>
      </c>
      <c r="N40" s="33">
        <v>61</v>
      </c>
      <c r="O40" s="29"/>
      <c r="P40" s="34">
        <f>(H40*0.5)+(K40*0.3)+(N40*0.2)</f>
        <v>58.6</v>
      </c>
    </row>
    <row r="41" spans="2:16" x14ac:dyDescent="0.2">
      <c r="B41" s="25">
        <v>37</v>
      </c>
      <c r="C41" s="26" t="s">
        <v>485</v>
      </c>
      <c r="D41" s="27" t="s">
        <v>484</v>
      </c>
      <c r="E41" s="28" t="s">
        <v>0</v>
      </c>
      <c r="F41" s="29"/>
      <c r="G41" s="30">
        <v>101.55000000000003</v>
      </c>
      <c r="H41" s="31">
        <v>76</v>
      </c>
      <c r="I41" s="29"/>
      <c r="J41" s="32">
        <v>308.16000000000003</v>
      </c>
      <c r="K41" s="32">
        <v>18</v>
      </c>
      <c r="L41" s="29"/>
      <c r="M41" s="33">
        <v>116.96000000000001</v>
      </c>
      <c r="N41" s="33">
        <v>76</v>
      </c>
      <c r="O41" s="29"/>
      <c r="P41" s="34">
        <f>(H41*0.5)+(K41*0.3)+(N41*0.2)</f>
        <v>58.6</v>
      </c>
    </row>
    <row r="42" spans="2:16" x14ac:dyDescent="0.2">
      <c r="B42" s="25">
        <v>38</v>
      </c>
      <c r="C42" s="38" t="s">
        <v>519</v>
      </c>
      <c r="D42" s="27" t="s">
        <v>518</v>
      </c>
      <c r="E42" s="28" t="s">
        <v>20</v>
      </c>
      <c r="F42" s="29"/>
      <c r="G42" s="30">
        <v>344.17</v>
      </c>
      <c r="H42" s="31">
        <v>11</v>
      </c>
      <c r="I42" s="29"/>
      <c r="J42" s="32">
        <v>201.96</v>
      </c>
      <c r="K42" s="32">
        <v>48</v>
      </c>
      <c r="L42" s="29"/>
      <c r="M42" s="33">
        <v>0</v>
      </c>
      <c r="N42" s="33">
        <v>195</v>
      </c>
      <c r="O42" s="29"/>
      <c r="P42" s="34">
        <f>(H42*0.5)+(K42*0.3)+(N42*0.2)</f>
        <v>58.9</v>
      </c>
    </row>
    <row r="43" spans="2:16" x14ac:dyDescent="0.2">
      <c r="B43" s="25">
        <v>39</v>
      </c>
      <c r="C43" s="26" t="s">
        <v>437</v>
      </c>
      <c r="D43" s="27" t="s">
        <v>436</v>
      </c>
      <c r="E43" s="28" t="s">
        <v>44</v>
      </c>
      <c r="F43" s="29"/>
      <c r="G43" s="30">
        <v>118.97</v>
      </c>
      <c r="H43" s="31">
        <v>48</v>
      </c>
      <c r="I43" s="29"/>
      <c r="J43" s="32">
        <v>142.91</v>
      </c>
      <c r="K43" s="32">
        <v>82</v>
      </c>
      <c r="L43" s="29"/>
      <c r="M43" s="33">
        <v>151.39000000000001</v>
      </c>
      <c r="N43" s="33">
        <v>57</v>
      </c>
      <c r="O43" s="29"/>
      <c r="P43" s="34">
        <f>(H43*0.5)+(K43*0.3)+(N43*0.2)</f>
        <v>59.999999999999993</v>
      </c>
    </row>
    <row r="44" spans="2:16" x14ac:dyDescent="0.2">
      <c r="B44" s="25">
        <v>40</v>
      </c>
      <c r="C44" s="37" t="s">
        <v>501</v>
      </c>
      <c r="D44" s="27" t="s">
        <v>500</v>
      </c>
      <c r="E44" s="28" t="s">
        <v>9</v>
      </c>
      <c r="F44" s="29"/>
      <c r="G44" s="30">
        <v>122.51</v>
      </c>
      <c r="H44" s="31">
        <v>86</v>
      </c>
      <c r="I44" s="29"/>
      <c r="J44" s="32">
        <v>200.03</v>
      </c>
      <c r="K44" s="32">
        <v>50</v>
      </c>
      <c r="L44" s="29"/>
      <c r="M44" s="33">
        <v>353.46</v>
      </c>
      <c r="N44" s="33">
        <v>10</v>
      </c>
      <c r="O44" s="29"/>
      <c r="P44" s="34">
        <f>(H44*0.5)+(K44*0.3)+(N44*0.2)</f>
        <v>60</v>
      </c>
    </row>
    <row r="45" spans="2:16" x14ac:dyDescent="0.2">
      <c r="B45" s="25">
        <v>41</v>
      </c>
      <c r="C45" s="39" t="s">
        <v>463</v>
      </c>
      <c r="D45" s="27" t="s">
        <v>462</v>
      </c>
      <c r="E45" s="28" t="s">
        <v>20</v>
      </c>
      <c r="F45" s="29"/>
      <c r="G45" s="30">
        <v>63.68</v>
      </c>
      <c r="H45" s="31">
        <v>91</v>
      </c>
      <c r="I45" s="29"/>
      <c r="J45" s="32">
        <v>254.96</v>
      </c>
      <c r="K45" s="32">
        <v>31</v>
      </c>
      <c r="L45" s="29"/>
      <c r="M45" s="33">
        <v>247.66000000000005</v>
      </c>
      <c r="N45" s="33">
        <v>28</v>
      </c>
      <c r="O45" s="29"/>
      <c r="P45" s="34">
        <f>(H45*0.5)+(K45*0.3)+(N45*0.2)</f>
        <v>60.4</v>
      </c>
    </row>
    <row r="46" spans="2:16" x14ac:dyDescent="0.2">
      <c r="B46" s="25">
        <v>42</v>
      </c>
      <c r="C46" s="38" t="s">
        <v>471</v>
      </c>
      <c r="D46" s="27" t="s">
        <v>470</v>
      </c>
      <c r="E46" s="28" t="s">
        <v>20</v>
      </c>
      <c r="F46" s="29"/>
      <c r="G46" s="30">
        <v>122.27000000000002</v>
      </c>
      <c r="H46" s="31">
        <v>78</v>
      </c>
      <c r="I46" s="29"/>
      <c r="J46" s="32">
        <v>206.94</v>
      </c>
      <c r="K46" s="32">
        <v>46</v>
      </c>
      <c r="L46" s="29"/>
      <c r="M46" s="33">
        <v>182.62</v>
      </c>
      <c r="N46" s="33">
        <v>43</v>
      </c>
      <c r="O46" s="29"/>
      <c r="P46" s="34">
        <f>(H46*0.5)+(K46*0.3)+(N46*0.2)</f>
        <v>61.4</v>
      </c>
    </row>
    <row r="47" spans="2:16" x14ac:dyDescent="0.2">
      <c r="B47" s="25">
        <v>43</v>
      </c>
      <c r="C47" s="39" t="s">
        <v>427</v>
      </c>
      <c r="D47" s="27" t="s">
        <v>426</v>
      </c>
      <c r="E47" s="28" t="s">
        <v>9</v>
      </c>
      <c r="F47" s="29"/>
      <c r="G47" s="30">
        <v>94.89</v>
      </c>
      <c r="H47" s="31">
        <v>58</v>
      </c>
      <c r="I47" s="29"/>
      <c r="J47" s="32">
        <v>158.64000000000001</v>
      </c>
      <c r="K47" s="32">
        <v>76</v>
      </c>
      <c r="L47" s="29"/>
      <c r="M47" s="33">
        <v>170.26000000000005</v>
      </c>
      <c r="N47" s="33">
        <v>50</v>
      </c>
      <c r="O47" s="29"/>
      <c r="P47" s="34">
        <f>(H47*0.5)+(K47*0.3)+(N47*0.2)</f>
        <v>61.8</v>
      </c>
    </row>
    <row r="48" spans="2:16" x14ac:dyDescent="0.2">
      <c r="B48" s="25">
        <v>44</v>
      </c>
      <c r="C48" s="38" t="s">
        <v>473</v>
      </c>
      <c r="D48" s="27" t="s">
        <v>472</v>
      </c>
      <c r="E48" s="28" t="s">
        <v>3</v>
      </c>
      <c r="F48" s="29"/>
      <c r="G48" s="30">
        <v>109.08</v>
      </c>
      <c r="H48" s="31">
        <v>84</v>
      </c>
      <c r="I48" s="29"/>
      <c r="J48" s="32">
        <v>211.24</v>
      </c>
      <c r="K48" s="32">
        <v>44</v>
      </c>
      <c r="L48" s="29"/>
      <c r="M48" s="33">
        <v>212.57000000000005</v>
      </c>
      <c r="N48" s="33">
        <v>34</v>
      </c>
      <c r="O48" s="29"/>
      <c r="P48" s="34">
        <f>(H48*0.5)+(K48*0.3)+(N48*0.2)</f>
        <v>62</v>
      </c>
    </row>
    <row r="49" spans="2:16" x14ac:dyDescent="0.2">
      <c r="B49" s="25">
        <v>45</v>
      </c>
      <c r="C49" s="26" t="s">
        <v>475</v>
      </c>
      <c r="D49" s="27" t="s">
        <v>474</v>
      </c>
      <c r="E49" s="28" t="s">
        <v>6</v>
      </c>
      <c r="F49" s="29"/>
      <c r="G49" s="30">
        <v>222.29000000000005</v>
      </c>
      <c r="H49" s="31">
        <v>24</v>
      </c>
      <c r="I49" s="29"/>
      <c r="J49" s="32">
        <v>89.87</v>
      </c>
      <c r="K49" s="32">
        <v>121</v>
      </c>
      <c r="L49" s="29"/>
      <c r="M49" s="33">
        <v>122.71000000000001</v>
      </c>
      <c r="N49" s="33">
        <v>71</v>
      </c>
      <c r="O49" s="29"/>
      <c r="P49" s="34">
        <f>(H49*0.5)+(K49*0.3)+(N49*0.2)</f>
        <v>62.5</v>
      </c>
    </row>
    <row r="50" spans="2:16" x14ac:dyDescent="0.2">
      <c r="B50" s="25">
        <v>46</v>
      </c>
      <c r="C50" s="26" t="s">
        <v>453</v>
      </c>
      <c r="D50" s="27" t="s">
        <v>452</v>
      </c>
      <c r="E50" s="28" t="s">
        <v>9</v>
      </c>
      <c r="F50" s="29"/>
      <c r="G50" s="30">
        <v>129.11000000000001</v>
      </c>
      <c r="H50" s="31">
        <v>60</v>
      </c>
      <c r="I50" s="29"/>
      <c r="J50" s="32">
        <v>185.69</v>
      </c>
      <c r="K50" s="32">
        <v>55</v>
      </c>
      <c r="L50" s="29"/>
      <c r="M50" s="33">
        <v>114.63000000000002</v>
      </c>
      <c r="N50" s="33">
        <v>80</v>
      </c>
      <c r="O50" s="29"/>
      <c r="P50" s="34">
        <f>(H50*0.5)+(K50*0.3)+(N50*0.2)</f>
        <v>62.5</v>
      </c>
    </row>
    <row r="51" spans="2:16" x14ac:dyDescent="0.2">
      <c r="B51" s="25">
        <v>47</v>
      </c>
      <c r="C51" s="38" t="s">
        <v>481</v>
      </c>
      <c r="D51" s="27" t="s">
        <v>480</v>
      </c>
      <c r="E51" s="28" t="s">
        <v>44</v>
      </c>
      <c r="F51" s="29"/>
      <c r="G51" s="30">
        <v>140.54000000000002</v>
      </c>
      <c r="H51" s="31">
        <v>75</v>
      </c>
      <c r="I51" s="29"/>
      <c r="J51" s="32">
        <v>170.15</v>
      </c>
      <c r="K51" s="32">
        <v>67</v>
      </c>
      <c r="L51" s="29"/>
      <c r="M51" s="33">
        <v>223.4</v>
      </c>
      <c r="N51" s="33">
        <v>31</v>
      </c>
      <c r="O51" s="29"/>
      <c r="P51" s="34">
        <f>(H51*0.5)+(K51*0.3)+(N51*0.2)</f>
        <v>63.8</v>
      </c>
    </row>
    <row r="52" spans="2:16" x14ac:dyDescent="0.2">
      <c r="B52" s="25">
        <v>48</v>
      </c>
      <c r="C52" s="26" t="s">
        <v>459</v>
      </c>
      <c r="D52" s="27" t="s">
        <v>458</v>
      </c>
      <c r="E52" s="28" t="s">
        <v>3</v>
      </c>
      <c r="F52" s="29"/>
      <c r="G52" s="30">
        <v>177.96</v>
      </c>
      <c r="H52" s="31">
        <v>32</v>
      </c>
      <c r="I52" s="29"/>
      <c r="J52" s="32">
        <v>183.94</v>
      </c>
      <c r="K52" s="32">
        <v>58</v>
      </c>
      <c r="L52" s="29"/>
      <c r="M52" s="33">
        <v>34.800000000000004</v>
      </c>
      <c r="N52" s="33">
        <v>155</v>
      </c>
      <c r="O52" s="29"/>
      <c r="P52" s="34">
        <f>(H52*0.5)+(K52*0.3)+(N52*0.2)</f>
        <v>64.400000000000006</v>
      </c>
    </row>
    <row r="53" spans="2:16" x14ac:dyDescent="0.2">
      <c r="B53" s="25">
        <v>49</v>
      </c>
      <c r="C53" s="38" t="s">
        <v>469</v>
      </c>
      <c r="D53" s="27" t="s">
        <v>468</v>
      </c>
      <c r="E53" s="28" t="s">
        <v>3</v>
      </c>
      <c r="F53" s="29"/>
      <c r="G53" s="30">
        <v>168.91</v>
      </c>
      <c r="H53" s="31">
        <v>63</v>
      </c>
      <c r="I53" s="29"/>
      <c r="J53" s="32">
        <v>133.5</v>
      </c>
      <c r="K53" s="32">
        <v>90</v>
      </c>
      <c r="L53" s="29"/>
      <c r="M53" s="33">
        <v>170.46</v>
      </c>
      <c r="N53" s="33">
        <v>49</v>
      </c>
      <c r="O53" s="29"/>
      <c r="P53" s="34">
        <f>(H53*0.5)+(K53*0.3)+(N53*0.2)</f>
        <v>68.3</v>
      </c>
    </row>
    <row r="54" spans="2:16" x14ac:dyDescent="0.2">
      <c r="B54" s="25">
        <v>50</v>
      </c>
      <c r="C54" s="26" t="s">
        <v>389</v>
      </c>
      <c r="D54" s="27" t="s">
        <v>388</v>
      </c>
      <c r="E54" s="28" t="s">
        <v>0</v>
      </c>
      <c r="F54" s="29"/>
      <c r="G54" s="30">
        <v>103.41000000000003</v>
      </c>
      <c r="H54" s="31">
        <v>43</v>
      </c>
      <c r="I54" s="29"/>
      <c r="J54" s="32">
        <v>151.12</v>
      </c>
      <c r="K54" s="32">
        <v>78</v>
      </c>
      <c r="L54" s="29"/>
      <c r="M54" s="33">
        <v>52.39</v>
      </c>
      <c r="N54" s="33">
        <v>134</v>
      </c>
      <c r="O54" s="29"/>
      <c r="P54" s="34">
        <f>(H54*0.5)+(K54*0.3)+(N54*0.2)</f>
        <v>71.7</v>
      </c>
    </row>
    <row r="55" spans="2:16" x14ac:dyDescent="0.2">
      <c r="B55" s="25">
        <v>51</v>
      </c>
      <c r="C55" s="39" t="s">
        <v>435</v>
      </c>
      <c r="D55" s="27" t="s">
        <v>434</v>
      </c>
      <c r="E55" s="28" t="s">
        <v>3</v>
      </c>
      <c r="F55" s="29"/>
      <c r="G55" s="30">
        <v>146.41999999999999</v>
      </c>
      <c r="H55" s="31">
        <v>36</v>
      </c>
      <c r="I55" s="29"/>
      <c r="J55" s="32">
        <v>194.22</v>
      </c>
      <c r="K55" s="32">
        <v>52</v>
      </c>
      <c r="L55" s="29"/>
      <c r="M55" s="33">
        <v>0</v>
      </c>
      <c r="N55" s="33">
        <v>195</v>
      </c>
      <c r="O55" s="29"/>
      <c r="P55" s="34">
        <f>(H55*0.5)+(K55*0.3)+(N55*0.2)</f>
        <v>72.599999999999994</v>
      </c>
    </row>
    <row r="56" spans="2:16" x14ac:dyDescent="0.2">
      <c r="B56" s="25">
        <v>52</v>
      </c>
      <c r="C56" s="39" t="s">
        <v>425</v>
      </c>
      <c r="D56" s="27" t="s">
        <v>424</v>
      </c>
      <c r="E56" s="28" t="s">
        <v>44</v>
      </c>
      <c r="F56" s="29"/>
      <c r="G56" s="30">
        <v>109.01</v>
      </c>
      <c r="H56" s="31">
        <v>77</v>
      </c>
      <c r="I56" s="29"/>
      <c r="J56" s="32">
        <v>170.59</v>
      </c>
      <c r="K56" s="32">
        <v>66</v>
      </c>
      <c r="L56" s="29"/>
      <c r="M56" s="33">
        <v>115.53</v>
      </c>
      <c r="N56" s="33">
        <v>78</v>
      </c>
      <c r="O56" s="29"/>
      <c r="P56" s="34">
        <f>(H56*0.5)+(K56*0.3)+(N56*0.2)</f>
        <v>73.900000000000006</v>
      </c>
    </row>
    <row r="57" spans="2:16" x14ac:dyDescent="0.2">
      <c r="B57" s="25">
        <v>53</v>
      </c>
      <c r="C57" s="36" t="s">
        <v>393</v>
      </c>
      <c r="D57" s="27" t="s">
        <v>392</v>
      </c>
      <c r="E57" s="28" t="s">
        <v>0</v>
      </c>
      <c r="F57" s="29"/>
      <c r="G57" s="30">
        <v>131.78</v>
      </c>
      <c r="H57" s="31">
        <v>33</v>
      </c>
      <c r="I57" s="29"/>
      <c r="J57" s="32">
        <v>95.36</v>
      </c>
      <c r="K57" s="32">
        <v>117</v>
      </c>
      <c r="L57" s="29"/>
      <c r="M57" s="33">
        <v>70.650000000000006</v>
      </c>
      <c r="N57" s="33">
        <v>112</v>
      </c>
      <c r="O57" s="29"/>
      <c r="P57" s="34">
        <f>(H57*0.5)+(K57*0.3)+(N57*0.2)</f>
        <v>74</v>
      </c>
    </row>
    <row r="58" spans="2:16" x14ac:dyDescent="0.2">
      <c r="B58" s="25">
        <v>54</v>
      </c>
      <c r="C58" s="36" t="s">
        <v>411</v>
      </c>
      <c r="D58" s="27" t="s">
        <v>410</v>
      </c>
      <c r="E58" s="28" t="s">
        <v>9</v>
      </c>
      <c r="F58" s="29"/>
      <c r="G58" s="30">
        <v>105.99000000000001</v>
      </c>
      <c r="H58" s="31">
        <v>54</v>
      </c>
      <c r="I58" s="29"/>
      <c r="J58" s="32">
        <v>203.93</v>
      </c>
      <c r="K58" s="32">
        <v>47</v>
      </c>
      <c r="L58" s="29"/>
      <c r="M58" s="33">
        <v>28.34</v>
      </c>
      <c r="N58" s="33">
        <v>168</v>
      </c>
      <c r="O58" s="29"/>
      <c r="P58" s="34">
        <f>(H58*0.5)+(K58*0.3)+(N58*0.2)</f>
        <v>74.7</v>
      </c>
    </row>
    <row r="59" spans="2:16" x14ac:dyDescent="0.2">
      <c r="B59" s="25">
        <v>55</v>
      </c>
      <c r="C59" s="39" t="s">
        <v>461</v>
      </c>
      <c r="D59" s="27" t="s">
        <v>460</v>
      </c>
      <c r="E59" s="28" t="s">
        <v>9</v>
      </c>
      <c r="F59" s="29"/>
      <c r="G59" s="30">
        <v>236.73000000000002</v>
      </c>
      <c r="H59" s="31">
        <v>22</v>
      </c>
      <c r="I59" s="29"/>
      <c r="J59" s="32">
        <v>101.06</v>
      </c>
      <c r="K59" s="32">
        <v>111</v>
      </c>
      <c r="L59" s="29"/>
      <c r="M59" s="33">
        <v>33.78</v>
      </c>
      <c r="N59" s="33">
        <v>157</v>
      </c>
      <c r="O59" s="29"/>
      <c r="P59" s="34">
        <f>(H59*0.5)+(K59*0.3)+(N59*0.2)</f>
        <v>75.7</v>
      </c>
    </row>
    <row r="60" spans="2:16" x14ac:dyDescent="0.2">
      <c r="B60" s="25">
        <v>56</v>
      </c>
      <c r="C60" s="26" t="s">
        <v>387</v>
      </c>
      <c r="D60" s="27" t="s">
        <v>386</v>
      </c>
      <c r="E60" s="28" t="s">
        <v>44</v>
      </c>
      <c r="F60" s="29"/>
      <c r="G60" s="30">
        <v>82.03</v>
      </c>
      <c r="H60" s="31">
        <v>67</v>
      </c>
      <c r="I60" s="29"/>
      <c r="J60" s="32">
        <v>149.25</v>
      </c>
      <c r="K60" s="32">
        <v>80</v>
      </c>
      <c r="L60" s="29"/>
      <c r="M60" s="33">
        <v>98.36</v>
      </c>
      <c r="N60" s="33">
        <v>92</v>
      </c>
      <c r="O60" s="29"/>
      <c r="P60" s="34">
        <f>(H60*0.5)+(K60*0.3)+(N60*0.2)</f>
        <v>75.900000000000006</v>
      </c>
    </row>
    <row r="61" spans="2:16" x14ac:dyDescent="0.2">
      <c r="B61" s="25">
        <v>57</v>
      </c>
      <c r="C61" s="39" t="s">
        <v>429</v>
      </c>
      <c r="D61" s="27" t="s">
        <v>428</v>
      </c>
      <c r="E61" s="28" t="s">
        <v>9</v>
      </c>
      <c r="F61" s="29"/>
      <c r="G61" s="30">
        <v>139.27000000000001</v>
      </c>
      <c r="H61" s="40">
        <v>50</v>
      </c>
      <c r="I61" s="29"/>
      <c r="J61" s="32">
        <v>177.12</v>
      </c>
      <c r="K61" s="32">
        <v>63</v>
      </c>
      <c r="L61" s="29"/>
      <c r="M61" s="33">
        <v>32.24</v>
      </c>
      <c r="N61" s="33">
        <v>160</v>
      </c>
      <c r="O61" s="29"/>
      <c r="P61" s="34">
        <f>(H61*0.5)+(K61*0.3)+(N61*0.2)</f>
        <v>75.900000000000006</v>
      </c>
    </row>
    <row r="62" spans="2:16" x14ac:dyDescent="0.2">
      <c r="B62" s="25">
        <v>58</v>
      </c>
      <c r="C62" s="41" t="s">
        <v>343</v>
      </c>
      <c r="D62" s="27" t="s">
        <v>342</v>
      </c>
      <c r="E62" s="28" t="s">
        <v>6</v>
      </c>
      <c r="F62" s="29"/>
      <c r="G62" s="30">
        <v>98.410000000000025</v>
      </c>
      <c r="H62" s="31">
        <v>35</v>
      </c>
      <c r="I62" s="29"/>
      <c r="J62" s="32">
        <v>79.77000000000001</v>
      </c>
      <c r="K62" s="32">
        <v>132</v>
      </c>
      <c r="L62" s="29"/>
      <c r="M62" s="33">
        <v>90.87</v>
      </c>
      <c r="N62" s="33">
        <v>100</v>
      </c>
      <c r="O62" s="29"/>
      <c r="P62" s="34">
        <f>(H62*0.5)+(K62*0.3)+(N62*0.2)</f>
        <v>77.099999999999994</v>
      </c>
    </row>
    <row r="63" spans="2:16" x14ac:dyDescent="0.2">
      <c r="B63" s="25">
        <v>59</v>
      </c>
      <c r="C63" s="26" t="s">
        <v>451</v>
      </c>
      <c r="D63" s="27" t="s">
        <v>450</v>
      </c>
      <c r="E63" s="28" t="s">
        <v>3</v>
      </c>
      <c r="F63" s="29"/>
      <c r="G63" s="30">
        <v>145.47</v>
      </c>
      <c r="H63" s="31">
        <v>81</v>
      </c>
      <c r="I63" s="29"/>
      <c r="J63" s="32">
        <v>163.05000000000001</v>
      </c>
      <c r="K63" s="32">
        <v>71</v>
      </c>
      <c r="L63" s="29"/>
      <c r="M63" s="33">
        <v>105.79</v>
      </c>
      <c r="N63" s="33">
        <v>84</v>
      </c>
      <c r="O63" s="29"/>
      <c r="P63" s="34">
        <f>(H63*0.5)+(K63*0.3)+(N63*0.2)</f>
        <v>78.599999999999994</v>
      </c>
    </row>
    <row r="64" spans="2:16" x14ac:dyDescent="0.2">
      <c r="B64" s="25">
        <v>60</v>
      </c>
      <c r="C64" s="26" t="s">
        <v>443</v>
      </c>
      <c r="D64" s="27" t="s">
        <v>442</v>
      </c>
      <c r="E64" s="28" t="s">
        <v>9</v>
      </c>
      <c r="F64" s="29"/>
      <c r="G64" s="30">
        <v>40.67</v>
      </c>
      <c r="H64" s="31">
        <v>125</v>
      </c>
      <c r="I64" s="29"/>
      <c r="J64" s="32">
        <v>258.79000000000002</v>
      </c>
      <c r="K64" s="32">
        <v>30</v>
      </c>
      <c r="L64" s="29"/>
      <c r="M64" s="33">
        <v>188.07000000000005</v>
      </c>
      <c r="N64" s="33">
        <v>39</v>
      </c>
      <c r="O64" s="29"/>
      <c r="P64" s="34">
        <f>(H64*0.5)+(K64*0.3)+(N64*0.2)</f>
        <v>79.3</v>
      </c>
    </row>
    <row r="65" spans="2:16" x14ac:dyDescent="0.2">
      <c r="B65" s="25">
        <v>61</v>
      </c>
      <c r="C65" s="26" t="s">
        <v>357</v>
      </c>
      <c r="D65" s="27" t="s">
        <v>356</v>
      </c>
      <c r="E65" s="28" t="s">
        <v>9</v>
      </c>
      <c r="F65" s="29"/>
      <c r="G65" s="30">
        <v>83.74</v>
      </c>
      <c r="H65" s="31">
        <v>64</v>
      </c>
      <c r="I65" s="29"/>
      <c r="J65" s="32">
        <v>105.62</v>
      </c>
      <c r="K65" s="32">
        <v>107</v>
      </c>
      <c r="L65" s="29"/>
      <c r="M65" s="33">
        <v>109.97</v>
      </c>
      <c r="N65" s="33">
        <v>83</v>
      </c>
      <c r="O65" s="29"/>
      <c r="P65" s="34">
        <f>(H65*0.5)+(K65*0.3)+(N65*0.2)</f>
        <v>80.699999999999989</v>
      </c>
    </row>
    <row r="66" spans="2:16" x14ac:dyDescent="0.2">
      <c r="B66" s="25">
        <v>62</v>
      </c>
      <c r="C66" s="39" t="s">
        <v>441</v>
      </c>
      <c r="D66" s="27" t="s">
        <v>440</v>
      </c>
      <c r="E66" s="28" t="s">
        <v>0</v>
      </c>
      <c r="F66" s="29"/>
      <c r="G66" s="30">
        <v>92.43</v>
      </c>
      <c r="H66" s="31">
        <v>107</v>
      </c>
      <c r="I66" s="29"/>
      <c r="J66" s="32">
        <v>185.45000000000002</v>
      </c>
      <c r="K66" s="32">
        <v>56</v>
      </c>
      <c r="L66" s="29"/>
      <c r="M66" s="33">
        <v>162.84</v>
      </c>
      <c r="N66" s="33">
        <v>52</v>
      </c>
      <c r="O66" s="29"/>
      <c r="P66" s="34">
        <f>(H66*0.5)+(K66*0.3)+(N66*0.2)</f>
        <v>80.7</v>
      </c>
    </row>
    <row r="67" spans="2:16" x14ac:dyDescent="0.2">
      <c r="B67" s="25">
        <v>63</v>
      </c>
      <c r="C67" s="41" t="s">
        <v>403</v>
      </c>
      <c r="D67" s="27" t="s">
        <v>402</v>
      </c>
      <c r="E67" s="28" t="s">
        <v>9</v>
      </c>
      <c r="F67" s="29"/>
      <c r="G67" s="30">
        <v>44.88</v>
      </c>
      <c r="H67" s="31">
        <v>110</v>
      </c>
      <c r="I67" s="29"/>
      <c r="J67" s="32">
        <v>227.14000000000001</v>
      </c>
      <c r="K67" s="32">
        <v>40</v>
      </c>
      <c r="L67" s="29"/>
      <c r="M67" s="33">
        <v>119.55000000000003</v>
      </c>
      <c r="N67" s="33">
        <v>72</v>
      </c>
      <c r="O67" s="29"/>
      <c r="P67" s="34">
        <f>(H67*0.5)+(K67*0.3)+(N67*0.2)</f>
        <v>81.400000000000006</v>
      </c>
    </row>
    <row r="68" spans="2:16" x14ac:dyDescent="0.2">
      <c r="B68" s="25">
        <v>64</v>
      </c>
      <c r="C68" s="39" t="s">
        <v>447</v>
      </c>
      <c r="D68" s="27" t="s">
        <v>446</v>
      </c>
      <c r="E68" s="28" t="s">
        <v>44</v>
      </c>
      <c r="F68" s="29"/>
      <c r="G68" s="30">
        <v>158.9</v>
      </c>
      <c r="H68" s="31">
        <v>57</v>
      </c>
      <c r="I68" s="29"/>
      <c r="J68" s="32">
        <v>200.49</v>
      </c>
      <c r="K68" s="32">
        <v>49</v>
      </c>
      <c r="L68" s="29"/>
      <c r="M68" s="33">
        <v>0</v>
      </c>
      <c r="N68" s="33">
        <v>195</v>
      </c>
      <c r="O68" s="29"/>
      <c r="P68" s="34">
        <f>(H68*0.5)+(K68*0.3)+(N68*0.2)</f>
        <v>82.2</v>
      </c>
    </row>
    <row r="69" spans="2:16" x14ac:dyDescent="0.2">
      <c r="B69" s="25">
        <v>65</v>
      </c>
      <c r="C69" s="36" t="s">
        <v>391</v>
      </c>
      <c r="D69" s="27" t="s">
        <v>390</v>
      </c>
      <c r="E69" s="28" t="s">
        <v>20</v>
      </c>
      <c r="F69" s="29"/>
      <c r="G69" s="30">
        <v>107.5</v>
      </c>
      <c r="H69" s="31">
        <v>70</v>
      </c>
      <c r="I69" s="29"/>
      <c r="J69" s="32">
        <v>103.68</v>
      </c>
      <c r="K69" s="32">
        <v>109</v>
      </c>
      <c r="L69" s="29"/>
      <c r="M69" s="33">
        <v>117.22</v>
      </c>
      <c r="N69" s="33">
        <v>74</v>
      </c>
      <c r="O69" s="29"/>
      <c r="P69" s="34">
        <f>(H69*0.5)+(K69*0.3)+(N69*0.2)</f>
        <v>82.499999999999986</v>
      </c>
    </row>
    <row r="70" spans="2:16" x14ac:dyDescent="0.2">
      <c r="B70" s="25">
        <v>66</v>
      </c>
      <c r="C70" s="26" t="s">
        <v>477</v>
      </c>
      <c r="D70" s="27" t="s">
        <v>476</v>
      </c>
      <c r="E70" s="28" t="s">
        <v>3</v>
      </c>
      <c r="F70" s="29"/>
      <c r="G70" s="30">
        <v>143.76000000000002</v>
      </c>
      <c r="H70" s="31">
        <v>98</v>
      </c>
      <c r="I70" s="29"/>
      <c r="J70" s="32">
        <v>264.88</v>
      </c>
      <c r="K70" s="32">
        <v>28</v>
      </c>
      <c r="L70" s="29"/>
      <c r="M70" s="33">
        <v>57.95</v>
      </c>
      <c r="N70" s="33">
        <v>126</v>
      </c>
      <c r="O70" s="29"/>
      <c r="P70" s="34">
        <f>(H70*0.5)+(K70*0.3)+(N70*0.2)</f>
        <v>82.6</v>
      </c>
    </row>
    <row r="71" spans="2:16" x14ac:dyDescent="0.2">
      <c r="B71" s="25">
        <v>67</v>
      </c>
      <c r="C71" s="26" t="s">
        <v>487</v>
      </c>
      <c r="D71" s="27" t="s">
        <v>486</v>
      </c>
      <c r="E71" s="28" t="s">
        <v>3</v>
      </c>
      <c r="F71" s="29"/>
      <c r="G71" s="30">
        <v>66.05</v>
      </c>
      <c r="H71" s="31">
        <v>147</v>
      </c>
      <c r="I71" s="29"/>
      <c r="J71" s="32">
        <v>265.86</v>
      </c>
      <c r="K71" s="32">
        <v>27</v>
      </c>
      <c r="L71" s="29"/>
      <c r="M71" s="33">
        <v>287.16000000000003</v>
      </c>
      <c r="N71" s="33">
        <v>18</v>
      </c>
      <c r="O71" s="29"/>
      <c r="P71" s="34">
        <f>(H71*0.5)+(K71*0.3)+(N71*0.2)</f>
        <v>85.199999999999989</v>
      </c>
    </row>
    <row r="72" spans="2:16" x14ac:dyDescent="0.2">
      <c r="B72" s="25">
        <v>68</v>
      </c>
      <c r="C72" s="36" t="s">
        <v>409</v>
      </c>
      <c r="D72" s="27" t="s">
        <v>408</v>
      </c>
      <c r="E72" s="28" t="s">
        <v>20</v>
      </c>
      <c r="F72" s="29"/>
      <c r="G72" s="30">
        <v>149.43</v>
      </c>
      <c r="H72" s="31">
        <v>47</v>
      </c>
      <c r="I72" s="29"/>
      <c r="J72" s="32">
        <v>124.92</v>
      </c>
      <c r="K72" s="32">
        <v>95</v>
      </c>
      <c r="L72" s="29"/>
      <c r="M72" s="33">
        <v>29.650000000000002</v>
      </c>
      <c r="N72" s="33">
        <v>166</v>
      </c>
      <c r="O72" s="29"/>
      <c r="P72" s="34">
        <f>(H72*0.5)+(K72*0.3)+(N72*0.2)</f>
        <v>85.2</v>
      </c>
    </row>
    <row r="73" spans="2:16" x14ac:dyDescent="0.2">
      <c r="B73" s="25">
        <v>69</v>
      </c>
      <c r="C73" s="36" t="s">
        <v>415</v>
      </c>
      <c r="D73" s="27" t="s">
        <v>414</v>
      </c>
      <c r="E73" s="28" t="s">
        <v>3</v>
      </c>
      <c r="F73" s="29"/>
      <c r="G73" s="30">
        <v>141.72</v>
      </c>
      <c r="H73" s="31">
        <v>56</v>
      </c>
      <c r="I73" s="29"/>
      <c r="J73" s="32">
        <v>44.080000000000013</v>
      </c>
      <c r="K73" s="32">
        <v>168</v>
      </c>
      <c r="L73" s="29"/>
      <c r="M73" s="33">
        <v>189.51000000000005</v>
      </c>
      <c r="N73" s="33">
        <v>38</v>
      </c>
      <c r="O73" s="29"/>
      <c r="P73" s="34">
        <f>(H73*0.5)+(K73*0.3)+(N73*0.2)</f>
        <v>86</v>
      </c>
    </row>
    <row r="74" spans="2:16" x14ac:dyDescent="0.2">
      <c r="B74" s="25">
        <v>70</v>
      </c>
      <c r="C74" s="41" t="s">
        <v>331</v>
      </c>
      <c r="D74" s="27" t="s">
        <v>330</v>
      </c>
      <c r="E74" s="28" t="s">
        <v>0</v>
      </c>
      <c r="F74" s="29"/>
      <c r="G74" s="30">
        <v>109.56</v>
      </c>
      <c r="H74" s="31">
        <v>38</v>
      </c>
      <c r="I74" s="29"/>
      <c r="J74" s="32">
        <v>55.39</v>
      </c>
      <c r="K74" s="32">
        <v>154</v>
      </c>
      <c r="L74" s="29"/>
      <c r="M74" s="33">
        <v>74.88000000000001</v>
      </c>
      <c r="N74" s="33">
        <v>108</v>
      </c>
      <c r="O74" s="29"/>
      <c r="P74" s="34">
        <f>(H74*0.5)+(K74*0.3)+(N74*0.2)</f>
        <v>86.799999999999983</v>
      </c>
    </row>
    <row r="75" spans="2:16" x14ac:dyDescent="0.2">
      <c r="B75" s="25">
        <v>71</v>
      </c>
      <c r="C75" s="39" t="s">
        <v>457</v>
      </c>
      <c r="D75" s="27" t="s">
        <v>456</v>
      </c>
      <c r="E75" s="28" t="s">
        <v>3</v>
      </c>
      <c r="F75" s="29"/>
      <c r="G75" s="30">
        <v>220.92000000000002</v>
      </c>
      <c r="H75" s="31">
        <v>39</v>
      </c>
      <c r="I75" s="29"/>
      <c r="J75" s="32">
        <v>42.43</v>
      </c>
      <c r="K75" s="32">
        <v>172</v>
      </c>
      <c r="L75" s="29"/>
      <c r="M75" s="33">
        <v>114.86</v>
      </c>
      <c r="N75" s="33">
        <v>79</v>
      </c>
      <c r="O75" s="29"/>
      <c r="P75" s="34">
        <f>(H75*0.5)+(K75*0.3)+(N75*0.2)</f>
        <v>86.899999999999991</v>
      </c>
    </row>
    <row r="76" spans="2:16" x14ac:dyDescent="0.2">
      <c r="B76" s="25">
        <v>72</v>
      </c>
      <c r="C76" s="26" t="s">
        <v>375</v>
      </c>
      <c r="D76" s="27" t="s">
        <v>374</v>
      </c>
      <c r="E76" s="28" t="s">
        <v>3</v>
      </c>
      <c r="F76" s="29"/>
      <c r="G76" s="30">
        <v>80.86</v>
      </c>
      <c r="H76" s="31">
        <v>87</v>
      </c>
      <c r="I76" s="29"/>
      <c r="J76" s="32">
        <v>110.49000000000001</v>
      </c>
      <c r="K76" s="32">
        <v>104</v>
      </c>
      <c r="L76" s="29"/>
      <c r="M76" s="33">
        <v>130.72</v>
      </c>
      <c r="N76" s="33">
        <v>65</v>
      </c>
      <c r="O76" s="29"/>
      <c r="P76" s="34">
        <f>(H76*0.5)+(K76*0.3)+(N76*0.2)</f>
        <v>87.7</v>
      </c>
    </row>
    <row r="77" spans="2:16" x14ac:dyDescent="0.2">
      <c r="B77" s="25">
        <v>73</v>
      </c>
      <c r="C77" s="26" t="s">
        <v>465</v>
      </c>
      <c r="D77" s="27" t="s">
        <v>464</v>
      </c>
      <c r="E77" s="28" t="s">
        <v>44</v>
      </c>
      <c r="F77" s="29"/>
      <c r="G77" s="30">
        <v>40.120000000000005</v>
      </c>
      <c r="H77" s="31">
        <v>153</v>
      </c>
      <c r="I77" s="29"/>
      <c r="J77" s="32">
        <v>264.71000000000004</v>
      </c>
      <c r="K77" s="32">
        <v>29</v>
      </c>
      <c r="L77" s="29"/>
      <c r="M77" s="33">
        <v>294.93</v>
      </c>
      <c r="N77" s="33">
        <v>16</v>
      </c>
      <c r="O77" s="29"/>
      <c r="P77" s="34">
        <f>(H77*0.5)+(K77*0.3)+(N77*0.2)</f>
        <v>88.4</v>
      </c>
    </row>
    <row r="78" spans="2:16" x14ac:dyDescent="0.2">
      <c r="B78" s="25">
        <v>74</v>
      </c>
      <c r="C78" s="26" t="s">
        <v>385</v>
      </c>
      <c r="D78" s="27" t="s">
        <v>384</v>
      </c>
      <c r="E78" s="28" t="s">
        <v>0</v>
      </c>
      <c r="F78" s="29"/>
      <c r="G78" s="30">
        <v>88.020000000000024</v>
      </c>
      <c r="H78" s="31">
        <v>92</v>
      </c>
      <c r="I78" s="29"/>
      <c r="J78" s="32">
        <v>137.30000000000001</v>
      </c>
      <c r="K78" s="32">
        <v>87</v>
      </c>
      <c r="L78" s="29"/>
      <c r="M78" s="33">
        <v>100.79</v>
      </c>
      <c r="N78" s="33">
        <v>89</v>
      </c>
      <c r="O78" s="29"/>
      <c r="P78" s="34">
        <f>(H78*0.5)+(K78*0.3)+(N78*0.2)</f>
        <v>89.899999999999991</v>
      </c>
    </row>
    <row r="79" spans="2:16" x14ac:dyDescent="0.2">
      <c r="B79" s="25">
        <v>75</v>
      </c>
      <c r="C79" s="41" t="s">
        <v>369</v>
      </c>
      <c r="D79" s="27" t="s">
        <v>368</v>
      </c>
      <c r="E79" s="28" t="s">
        <v>9</v>
      </c>
      <c r="F79" s="29"/>
      <c r="G79" s="30">
        <v>93.34</v>
      </c>
      <c r="H79" s="31">
        <v>66</v>
      </c>
      <c r="I79" s="29"/>
      <c r="J79" s="32">
        <v>161.14000000000001</v>
      </c>
      <c r="K79" s="32">
        <v>73</v>
      </c>
      <c r="L79" s="29"/>
      <c r="M79" s="33">
        <v>18.55</v>
      </c>
      <c r="N79" s="33">
        <v>178</v>
      </c>
      <c r="O79" s="29"/>
      <c r="P79" s="34">
        <f>(H79*0.5)+(K79*0.3)+(N79*0.2)</f>
        <v>90.5</v>
      </c>
    </row>
    <row r="80" spans="2:16" x14ac:dyDescent="0.2">
      <c r="B80" s="25">
        <v>76</v>
      </c>
      <c r="C80" s="26" t="s">
        <v>423</v>
      </c>
      <c r="D80" s="27" t="s">
        <v>422</v>
      </c>
      <c r="E80" s="28" t="s">
        <v>20</v>
      </c>
      <c r="F80" s="29"/>
      <c r="G80" s="30">
        <v>67.150000000000006</v>
      </c>
      <c r="H80" s="31">
        <v>113</v>
      </c>
      <c r="I80" s="29"/>
      <c r="J80" s="32">
        <v>107.56</v>
      </c>
      <c r="K80" s="32">
        <v>105</v>
      </c>
      <c r="L80" s="29"/>
      <c r="M80" s="33">
        <v>297.39</v>
      </c>
      <c r="N80" s="33">
        <v>15</v>
      </c>
      <c r="O80" s="29"/>
      <c r="P80" s="34">
        <f>(H80*0.5)+(K80*0.3)+(N80*0.2)</f>
        <v>91</v>
      </c>
    </row>
    <row r="81" spans="2:16" x14ac:dyDescent="0.2">
      <c r="B81" s="25">
        <v>77</v>
      </c>
      <c r="C81" s="36" t="s">
        <v>413</v>
      </c>
      <c r="D81" s="27" t="s">
        <v>412</v>
      </c>
      <c r="E81" s="28" t="s">
        <v>6</v>
      </c>
      <c r="F81" s="29"/>
      <c r="G81" s="30">
        <v>106.96000000000001</v>
      </c>
      <c r="H81" s="31">
        <v>83</v>
      </c>
      <c r="I81" s="29"/>
      <c r="J81" s="32">
        <v>227.61</v>
      </c>
      <c r="K81" s="32">
        <v>39</v>
      </c>
      <c r="L81" s="29"/>
      <c r="M81" s="33">
        <v>0</v>
      </c>
      <c r="N81" s="33">
        <v>195</v>
      </c>
      <c r="O81" s="29"/>
      <c r="P81" s="34">
        <f>(H81*0.5)+(K81*0.3)+(N81*0.2)</f>
        <v>92.2</v>
      </c>
    </row>
    <row r="82" spans="2:16" x14ac:dyDescent="0.2">
      <c r="B82" s="25">
        <v>78</v>
      </c>
      <c r="C82" s="41" t="s">
        <v>371</v>
      </c>
      <c r="D82" s="27" t="s">
        <v>370</v>
      </c>
      <c r="E82" s="28" t="s">
        <v>0</v>
      </c>
      <c r="F82" s="29"/>
      <c r="G82" s="30">
        <v>56.85</v>
      </c>
      <c r="H82" s="31">
        <v>108</v>
      </c>
      <c r="I82" s="29"/>
      <c r="J82" s="32">
        <v>188.75</v>
      </c>
      <c r="K82" s="32">
        <v>54</v>
      </c>
      <c r="L82" s="29"/>
      <c r="M82" s="33">
        <v>70.64</v>
      </c>
      <c r="N82" s="33">
        <v>113</v>
      </c>
      <c r="O82" s="29"/>
      <c r="P82" s="34">
        <f>(H82*0.5)+(K82*0.3)+(N82*0.2)</f>
        <v>92.800000000000011</v>
      </c>
    </row>
    <row r="83" spans="2:16" x14ac:dyDescent="0.2">
      <c r="B83" s="25">
        <v>79</v>
      </c>
      <c r="C83" s="41" t="s">
        <v>363</v>
      </c>
      <c r="D83" s="27" t="s">
        <v>362</v>
      </c>
      <c r="E83" s="28" t="s">
        <v>0</v>
      </c>
      <c r="F83" s="29"/>
      <c r="G83" s="30">
        <v>124.29</v>
      </c>
      <c r="H83" s="31">
        <v>51</v>
      </c>
      <c r="I83" s="29"/>
      <c r="J83" s="32">
        <v>116.17</v>
      </c>
      <c r="K83" s="32">
        <v>101</v>
      </c>
      <c r="L83" s="29"/>
      <c r="M83" s="33">
        <v>0</v>
      </c>
      <c r="N83" s="33">
        <v>195</v>
      </c>
      <c r="O83" s="29"/>
      <c r="P83" s="34">
        <f>(H83*0.5)+(K83*0.3)+(N83*0.2)</f>
        <v>94.8</v>
      </c>
    </row>
    <row r="84" spans="2:16" x14ac:dyDescent="0.2">
      <c r="B84" s="25">
        <v>80</v>
      </c>
      <c r="C84" s="41" t="s">
        <v>455</v>
      </c>
      <c r="D84" s="27" t="s">
        <v>454</v>
      </c>
      <c r="E84" s="28" t="s">
        <v>9</v>
      </c>
      <c r="F84" s="29"/>
      <c r="G84" s="30">
        <v>45.45</v>
      </c>
      <c r="H84" s="31">
        <v>134</v>
      </c>
      <c r="I84" s="29"/>
      <c r="J84" s="32">
        <v>372.81</v>
      </c>
      <c r="K84" s="32">
        <v>8</v>
      </c>
      <c r="L84" s="29"/>
      <c r="M84" s="33">
        <v>55.06</v>
      </c>
      <c r="N84" s="33">
        <v>131</v>
      </c>
      <c r="O84" s="29"/>
      <c r="P84" s="34">
        <f>(H84*0.5)+(K84*0.3)+(N84*0.2)</f>
        <v>95.600000000000009</v>
      </c>
    </row>
    <row r="85" spans="2:16" x14ac:dyDescent="0.2">
      <c r="B85" s="25">
        <v>81</v>
      </c>
      <c r="C85" s="41" t="s">
        <v>383</v>
      </c>
      <c r="D85" s="27" t="s">
        <v>382</v>
      </c>
      <c r="E85" s="28" t="s">
        <v>6</v>
      </c>
      <c r="F85" s="29"/>
      <c r="G85" s="30">
        <v>75.47</v>
      </c>
      <c r="H85" s="31">
        <v>99</v>
      </c>
      <c r="I85" s="29"/>
      <c r="J85" s="32">
        <v>77</v>
      </c>
      <c r="K85" s="32">
        <v>133</v>
      </c>
      <c r="L85" s="29"/>
      <c r="M85" s="33">
        <v>220.66</v>
      </c>
      <c r="N85" s="33">
        <v>33</v>
      </c>
      <c r="O85" s="29"/>
      <c r="P85" s="34">
        <f>(H85*0.5)+(K85*0.3)+(N85*0.2)</f>
        <v>96</v>
      </c>
    </row>
    <row r="86" spans="2:16" x14ac:dyDescent="0.2">
      <c r="B86" s="25">
        <v>82</v>
      </c>
      <c r="C86" s="26" t="s">
        <v>395</v>
      </c>
      <c r="D86" s="27" t="s">
        <v>394</v>
      </c>
      <c r="E86" s="28" t="s">
        <v>20</v>
      </c>
      <c r="F86" s="29"/>
      <c r="G86" s="30">
        <v>89.34</v>
      </c>
      <c r="H86" s="31">
        <v>102</v>
      </c>
      <c r="I86" s="29"/>
      <c r="J86" s="32">
        <v>194.95000000000002</v>
      </c>
      <c r="K86" s="32">
        <v>51</v>
      </c>
      <c r="L86" s="29"/>
      <c r="M86" s="33">
        <v>37.5</v>
      </c>
      <c r="N86" s="33">
        <v>151</v>
      </c>
      <c r="O86" s="29"/>
      <c r="P86" s="34">
        <f>(H86*0.5)+(K86*0.3)+(N86*0.2)</f>
        <v>96.5</v>
      </c>
    </row>
    <row r="87" spans="2:16" x14ac:dyDescent="0.2">
      <c r="B87" s="25">
        <v>83</v>
      </c>
      <c r="C87" s="41" t="s">
        <v>337</v>
      </c>
      <c r="D87" s="27" t="s">
        <v>336</v>
      </c>
      <c r="E87" s="28" t="s">
        <v>44</v>
      </c>
      <c r="F87" s="29"/>
      <c r="G87" s="30">
        <v>48.29</v>
      </c>
      <c r="H87" s="31">
        <v>114</v>
      </c>
      <c r="I87" s="29"/>
      <c r="J87" s="32">
        <v>142.09</v>
      </c>
      <c r="K87" s="32">
        <v>83</v>
      </c>
      <c r="L87" s="29"/>
      <c r="M87" s="33">
        <v>117</v>
      </c>
      <c r="N87" s="33">
        <v>75</v>
      </c>
      <c r="O87" s="29"/>
      <c r="P87" s="34">
        <f>(H87*0.5)+(K87*0.3)+(N87*0.2)</f>
        <v>96.9</v>
      </c>
    </row>
    <row r="88" spans="2:16" x14ac:dyDescent="0.2">
      <c r="B88" s="25">
        <v>84</v>
      </c>
      <c r="C88" s="36" t="s">
        <v>421</v>
      </c>
      <c r="D88" s="27" t="s">
        <v>420</v>
      </c>
      <c r="E88" s="28" t="s">
        <v>20</v>
      </c>
      <c r="F88" s="29"/>
      <c r="G88" s="30">
        <v>143.84</v>
      </c>
      <c r="H88" s="31">
        <v>79</v>
      </c>
      <c r="I88" s="29"/>
      <c r="J88" s="32">
        <v>177.93</v>
      </c>
      <c r="K88" s="32">
        <v>62</v>
      </c>
      <c r="L88" s="29"/>
      <c r="M88" s="33">
        <v>0</v>
      </c>
      <c r="N88" s="33">
        <v>195</v>
      </c>
      <c r="O88" s="29"/>
      <c r="P88" s="34">
        <f>(H88*0.5)+(K88*0.3)+(N88*0.2)</f>
        <v>97.1</v>
      </c>
    </row>
    <row r="89" spans="2:16" x14ac:dyDescent="0.2">
      <c r="B89" s="25">
        <v>85</v>
      </c>
      <c r="C89" s="36" t="s">
        <v>439</v>
      </c>
      <c r="D89" s="27" t="s">
        <v>438</v>
      </c>
      <c r="E89" s="28" t="s">
        <v>0</v>
      </c>
      <c r="F89" s="29"/>
      <c r="G89" s="30">
        <v>47.940000000000012</v>
      </c>
      <c r="H89" s="31">
        <v>156</v>
      </c>
      <c r="I89" s="29"/>
      <c r="J89" s="32">
        <v>266.90000000000003</v>
      </c>
      <c r="K89" s="32">
        <v>26</v>
      </c>
      <c r="L89" s="29"/>
      <c r="M89" s="33">
        <v>149.49</v>
      </c>
      <c r="N89" s="33">
        <v>58</v>
      </c>
      <c r="O89" s="29"/>
      <c r="P89" s="34">
        <f>(H89*0.5)+(K89*0.3)+(N89*0.2)</f>
        <v>97.4</v>
      </c>
    </row>
    <row r="90" spans="2:16" x14ac:dyDescent="0.2">
      <c r="B90" s="25">
        <v>86</v>
      </c>
      <c r="C90" s="41" t="s">
        <v>381</v>
      </c>
      <c r="D90" s="27" t="s">
        <v>380</v>
      </c>
      <c r="E90" s="28" t="s">
        <v>44</v>
      </c>
      <c r="F90" s="29"/>
      <c r="G90" s="30">
        <v>55.02</v>
      </c>
      <c r="H90" s="31">
        <v>106</v>
      </c>
      <c r="I90" s="29"/>
      <c r="J90" s="32">
        <v>236.29000000000005</v>
      </c>
      <c r="K90" s="32">
        <v>37</v>
      </c>
      <c r="L90" s="29"/>
      <c r="M90" s="33">
        <v>21</v>
      </c>
      <c r="N90" s="33">
        <v>175</v>
      </c>
      <c r="O90" s="29"/>
      <c r="P90" s="34">
        <f>(H90*0.5)+(K90*0.3)+(N90*0.2)</f>
        <v>99.1</v>
      </c>
    </row>
    <row r="91" spans="2:16" x14ac:dyDescent="0.2">
      <c r="B91" s="25">
        <v>87</v>
      </c>
      <c r="C91" s="41" t="s">
        <v>361</v>
      </c>
      <c r="D91" s="27" t="s">
        <v>360</v>
      </c>
      <c r="E91" s="28" t="s">
        <v>6</v>
      </c>
      <c r="F91" s="29"/>
      <c r="G91" s="30">
        <v>51.400000000000013</v>
      </c>
      <c r="H91" s="31">
        <v>123</v>
      </c>
      <c r="I91" s="29"/>
      <c r="J91" s="32">
        <v>164.71</v>
      </c>
      <c r="K91" s="32">
        <v>70</v>
      </c>
      <c r="L91" s="29"/>
      <c r="M91" s="33">
        <v>104.62</v>
      </c>
      <c r="N91" s="33">
        <v>86</v>
      </c>
      <c r="O91" s="29"/>
      <c r="P91" s="34">
        <f>(H91*0.5)+(K91*0.3)+(N91*0.2)</f>
        <v>99.7</v>
      </c>
    </row>
    <row r="92" spans="2:16" x14ac:dyDescent="0.2">
      <c r="B92" s="25">
        <v>88</v>
      </c>
      <c r="C92" s="36" t="s">
        <v>401</v>
      </c>
      <c r="D92" s="27" t="s">
        <v>400</v>
      </c>
      <c r="E92" s="28" t="s">
        <v>44</v>
      </c>
      <c r="F92" s="29"/>
      <c r="G92" s="30">
        <v>65.23</v>
      </c>
      <c r="H92" s="31">
        <v>141</v>
      </c>
      <c r="I92" s="29"/>
      <c r="J92" s="32">
        <v>179.21</v>
      </c>
      <c r="K92" s="32">
        <v>61</v>
      </c>
      <c r="L92" s="29"/>
      <c r="M92" s="33">
        <v>130.22</v>
      </c>
      <c r="N92" s="33">
        <v>66</v>
      </c>
      <c r="O92" s="29"/>
      <c r="P92" s="34">
        <f>(H92*0.5)+(K92*0.3)+(N92*0.2)</f>
        <v>102</v>
      </c>
    </row>
    <row r="93" spans="2:16" x14ac:dyDescent="0.2">
      <c r="B93" s="25">
        <v>89</v>
      </c>
      <c r="C93" s="41" t="s">
        <v>335</v>
      </c>
      <c r="D93" s="27" t="s">
        <v>334</v>
      </c>
      <c r="E93" s="28" t="s">
        <v>0</v>
      </c>
      <c r="F93" s="29"/>
      <c r="G93" s="30">
        <v>129.71</v>
      </c>
      <c r="H93" s="31">
        <v>49</v>
      </c>
      <c r="I93" s="29"/>
      <c r="J93" s="32">
        <v>75.42</v>
      </c>
      <c r="K93" s="32">
        <v>137</v>
      </c>
      <c r="L93" s="29"/>
      <c r="M93" s="33">
        <v>9.17</v>
      </c>
      <c r="N93" s="33">
        <v>188</v>
      </c>
      <c r="O93" s="29"/>
      <c r="P93" s="34">
        <f>(H93*0.5)+(K93*0.3)+(N93*0.2)</f>
        <v>103.19999999999999</v>
      </c>
    </row>
    <row r="94" spans="2:16" x14ac:dyDescent="0.2">
      <c r="B94" s="25">
        <v>90</v>
      </c>
      <c r="C94" s="41" t="s">
        <v>353</v>
      </c>
      <c r="D94" s="27" t="s">
        <v>352</v>
      </c>
      <c r="E94" s="28" t="s">
        <v>3</v>
      </c>
      <c r="F94" s="29"/>
      <c r="G94" s="30">
        <v>126.27000000000002</v>
      </c>
      <c r="H94" s="31">
        <v>65</v>
      </c>
      <c r="I94" s="29"/>
      <c r="J94" s="32">
        <v>106.21000000000001</v>
      </c>
      <c r="K94" s="32">
        <v>106</v>
      </c>
      <c r="L94" s="29"/>
      <c r="M94" s="33">
        <v>0</v>
      </c>
      <c r="N94" s="33">
        <v>195</v>
      </c>
      <c r="O94" s="29"/>
      <c r="P94" s="34">
        <f>(H94*0.5)+(K94*0.3)+(N94*0.2)</f>
        <v>103.3</v>
      </c>
    </row>
    <row r="95" spans="2:16" x14ac:dyDescent="0.2">
      <c r="B95" s="25">
        <v>91</v>
      </c>
      <c r="C95" s="39" t="s">
        <v>433</v>
      </c>
      <c r="D95" s="27" t="s">
        <v>432</v>
      </c>
      <c r="E95" s="28" t="s">
        <v>20</v>
      </c>
      <c r="F95" s="29"/>
      <c r="G95" s="30">
        <v>190.10000000000005</v>
      </c>
      <c r="H95" s="31">
        <v>74</v>
      </c>
      <c r="I95" s="29"/>
      <c r="J95" s="32">
        <v>86.4</v>
      </c>
      <c r="K95" s="32">
        <v>128</v>
      </c>
      <c r="L95" s="29"/>
      <c r="M95" s="33">
        <v>49.95</v>
      </c>
      <c r="N95" s="33">
        <v>140</v>
      </c>
      <c r="O95" s="29"/>
      <c r="P95" s="34">
        <f>(H95*0.5)+(K95*0.3)+(N95*0.2)</f>
        <v>103.4</v>
      </c>
    </row>
    <row r="96" spans="2:16" x14ac:dyDescent="0.2">
      <c r="B96" s="25">
        <v>92</v>
      </c>
      <c r="C96" s="26" t="s">
        <v>407</v>
      </c>
      <c r="D96" s="27" t="s">
        <v>406</v>
      </c>
      <c r="E96" s="28" t="s">
        <v>20</v>
      </c>
      <c r="F96" s="29"/>
      <c r="G96" s="30">
        <v>53.1</v>
      </c>
      <c r="H96" s="31">
        <v>152</v>
      </c>
      <c r="I96" s="29"/>
      <c r="J96" s="32">
        <v>230.23000000000002</v>
      </c>
      <c r="K96" s="32">
        <v>38</v>
      </c>
      <c r="L96" s="29"/>
      <c r="M96" s="33">
        <v>111.06</v>
      </c>
      <c r="N96" s="33">
        <v>82</v>
      </c>
      <c r="O96" s="29"/>
      <c r="P96" s="34">
        <f>(H96*0.5)+(K96*0.3)+(N96*0.2)</f>
        <v>103.80000000000001</v>
      </c>
    </row>
    <row r="97" spans="2:16" x14ac:dyDescent="0.2">
      <c r="B97" s="25">
        <v>93</v>
      </c>
      <c r="C97" s="36" t="s">
        <v>405</v>
      </c>
      <c r="D97" s="27" t="s">
        <v>404</v>
      </c>
      <c r="E97" s="28" t="s">
        <v>3</v>
      </c>
      <c r="F97" s="29"/>
      <c r="G97" s="30">
        <v>112.43</v>
      </c>
      <c r="H97" s="31">
        <v>109</v>
      </c>
      <c r="I97" s="29"/>
      <c r="J97" s="32">
        <v>166.18</v>
      </c>
      <c r="K97" s="32">
        <v>68</v>
      </c>
      <c r="L97" s="29"/>
      <c r="M97" s="33">
        <v>42.89</v>
      </c>
      <c r="N97" s="33">
        <v>148</v>
      </c>
      <c r="O97" s="29"/>
      <c r="P97" s="34">
        <f>(H97*0.5)+(K97*0.3)+(N97*0.2)</f>
        <v>104.5</v>
      </c>
    </row>
    <row r="98" spans="2:16" x14ac:dyDescent="0.2">
      <c r="B98" s="25">
        <v>94</v>
      </c>
      <c r="C98" s="41" t="s">
        <v>379</v>
      </c>
      <c r="D98" s="27" t="s">
        <v>378</v>
      </c>
      <c r="E98" s="28" t="s">
        <v>44</v>
      </c>
      <c r="F98" s="29"/>
      <c r="G98" s="30">
        <v>92.87</v>
      </c>
      <c r="H98" s="31">
        <v>95</v>
      </c>
      <c r="I98" s="29"/>
      <c r="J98" s="32">
        <v>183.64000000000001</v>
      </c>
      <c r="K98" s="32">
        <v>60</v>
      </c>
      <c r="L98" s="29"/>
      <c r="M98" s="33">
        <v>0</v>
      </c>
      <c r="N98" s="33">
        <v>195</v>
      </c>
      <c r="O98" s="29"/>
      <c r="P98" s="34">
        <f>(H98*0.5)+(K98*0.3)+(N98*0.2)</f>
        <v>104.5</v>
      </c>
    </row>
    <row r="99" spans="2:16" x14ac:dyDescent="0.2">
      <c r="B99" s="25">
        <v>95</v>
      </c>
      <c r="C99" s="41" t="s">
        <v>377</v>
      </c>
      <c r="D99" s="27" t="s">
        <v>376</v>
      </c>
      <c r="E99" s="28" t="s">
        <v>20</v>
      </c>
      <c r="F99" s="29"/>
      <c r="G99" s="30">
        <v>131.99</v>
      </c>
      <c r="H99" s="31">
        <v>73</v>
      </c>
      <c r="I99" s="29"/>
      <c r="J99" s="32">
        <v>116.80000000000003</v>
      </c>
      <c r="K99" s="32">
        <v>100</v>
      </c>
      <c r="L99" s="29"/>
      <c r="M99" s="33">
        <v>0</v>
      </c>
      <c r="N99" s="33">
        <v>195</v>
      </c>
      <c r="O99" s="29"/>
      <c r="P99" s="34">
        <f>(H99*0.5)+(K99*0.3)+(N99*0.2)</f>
        <v>105.5</v>
      </c>
    </row>
    <row r="100" spans="2:16" x14ac:dyDescent="0.2">
      <c r="B100" s="25">
        <v>96</v>
      </c>
      <c r="C100" s="41" t="s">
        <v>355</v>
      </c>
      <c r="D100" s="27" t="s">
        <v>354</v>
      </c>
      <c r="E100" s="28" t="s">
        <v>6</v>
      </c>
      <c r="F100" s="29"/>
      <c r="G100" s="30">
        <v>44.53</v>
      </c>
      <c r="H100" s="31">
        <v>139</v>
      </c>
      <c r="I100" s="29"/>
      <c r="J100" s="32">
        <v>165.42000000000002</v>
      </c>
      <c r="K100" s="32">
        <v>69</v>
      </c>
      <c r="L100" s="29"/>
      <c r="M100" s="33">
        <v>116.04</v>
      </c>
      <c r="N100" s="33">
        <v>77</v>
      </c>
      <c r="O100" s="29"/>
      <c r="P100" s="34">
        <f>(H100*0.5)+(K100*0.3)+(N100*0.2)</f>
        <v>105.60000000000001</v>
      </c>
    </row>
    <row r="101" spans="2:16" x14ac:dyDescent="0.2">
      <c r="B101" s="25">
        <v>97</v>
      </c>
      <c r="C101" s="41" t="s">
        <v>351</v>
      </c>
      <c r="D101" s="27" t="s">
        <v>350</v>
      </c>
      <c r="E101" s="28" t="s">
        <v>3</v>
      </c>
      <c r="F101" s="29"/>
      <c r="G101" s="30">
        <v>86.100000000000009</v>
      </c>
      <c r="H101" s="31">
        <v>112</v>
      </c>
      <c r="I101" s="29"/>
      <c r="J101" s="32">
        <v>89.87</v>
      </c>
      <c r="K101" s="32">
        <v>122</v>
      </c>
      <c r="L101" s="29"/>
      <c r="M101" s="33">
        <v>124.81</v>
      </c>
      <c r="N101" s="33">
        <v>70</v>
      </c>
      <c r="O101" s="29"/>
      <c r="P101" s="34">
        <f>(H101*0.5)+(K101*0.3)+(N101*0.2)</f>
        <v>106.6</v>
      </c>
    </row>
    <row r="102" spans="2:16" x14ac:dyDescent="0.2">
      <c r="B102" s="25">
        <v>98</v>
      </c>
      <c r="C102" s="41" t="s">
        <v>349</v>
      </c>
      <c r="D102" s="27" t="s">
        <v>348</v>
      </c>
      <c r="E102" s="28" t="s">
        <v>44</v>
      </c>
      <c r="F102" s="29"/>
      <c r="G102" s="30">
        <v>168.24</v>
      </c>
      <c r="H102" s="31">
        <v>25</v>
      </c>
      <c r="I102" s="29"/>
      <c r="J102" s="32">
        <v>31.650000000000002</v>
      </c>
      <c r="K102" s="32">
        <v>187</v>
      </c>
      <c r="L102" s="29"/>
      <c r="M102" s="33">
        <v>0</v>
      </c>
      <c r="N102" s="33">
        <v>195</v>
      </c>
      <c r="O102" s="29"/>
      <c r="P102" s="34">
        <f>(H102*0.5)+(K102*0.3)+(N102*0.2)</f>
        <v>107.6</v>
      </c>
    </row>
    <row r="103" spans="2:16" x14ac:dyDescent="0.2">
      <c r="B103" s="25">
        <v>99</v>
      </c>
      <c r="C103" s="41" t="s">
        <v>299</v>
      </c>
      <c r="D103" s="27" t="s">
        <v>298</v>
      </c>
      <c r="E103" s="28" t="s">
        <v>44</v>
      </c>
      <c r="F103" s="29"/>
      <c r="G103" s="30">
        <v>61.150000000000013</v>
      </c>
      <c r="H103" s="31">
        <v>85</v>
      </c>
      <c r="I103" s="29"/>
      <c r="J103" s="32">
        <v>32.86</v>
      </c>
      <c r="K103" s="32">
        <v>184</v>
      </c>
      <c r="L103" s="29"/>
      <c r="M103" s="33">
        <v>159.5</v>
      </c>
      <c r="N103" s="33">
        <v>53</v>
      </c>
      <c r="O103" s="29"/>
      <c r="P103" s="34">
        <f>(H103*0.5)+(K103*0.3)+(N103*0.2)</f>
        <v>108.29999999999998</v>
      </c>
    </row>
    <row r="104" spans="2:16" x14ac:dyDescent="0.2">
      <c r="B104" s="25">
        <v>100</v>
      </c>
      <c r="C104" s="41" t="s">
        <v>345</v>
      </c>
      <c r="D104" s="27" t="s">
        <v>344</v>
      </c>
      <c r="E104" s="28" t="s">
        <v>44</v>
      </c>
      <c r="F104" s="29"/>
      <c r="G104" s="30">
        <v>88.08</v>
      </c>
      <c r="H104" s="31">
        <v>94</v>
      </c>
      <c r="I104" s="29"/>
      <c r="J104" s="32">
        <v>159.79000000000002</v>
      </c>
      <c r="K104" s="32">
        <v>75</v>
      </c>
      <c r="L104" s="29"/>
      <c r="M104" s="33">
        <v>0</v>
      </c>
      <c r="N104" s="33">
        <v>195</v>
      </c>
      <c r="O104" s="29"/>
      <c r="P104" s="34">
        <f>(H104*0.5)+(K104*0.3)+(N104*0.2)</f>
        <v>108.5</v>
      </c>
    </row>
    <row r="105" spans="2:16" x14ac:dyDescent="0.2">
      <c r="B105" s="25">
        <v>101</v>
      </c>
      <c r="C105" s="41" t="s">
        <v>329</v>
      </c>
      <c r="D105" s="27" t="s">
        <v>328</v>
      </c>
      <c r="E105" s="28" t="s">
        <v>6</v>
      </c>
      <c r="F105" s="29"/>
      <c r="G105" s="30">
        <v>66.84</v>
      </c>
      <c r="H105" s="31">
        <v>116</v>
      </c>
      <c r="I105" s="29"/>
      <c r="J105" s="32">
        <v>139.73000000000002</v>
      </c>
      <c r="K105" s="32">
        <v>85</v>
      </c>
      <c r="L105" s="29"/>
      <c r="M105" s="33">
        <v>50.89</v>
      </c>
      <c r="N105" s="33">
        <v>136</v>
      </c>
      <c r="O105" s="29"/>
      <c r="P105" s="34">
        <f>(H105*0.5)+(K105*0.3)+(N105*0.2)</f>
        <v>110.7</v>
      </c>
    </row>
    <row r="106" spans="2:16" x14ac:dyDescent="0.2">
      <c r="B106" s="25">
        <v>102</v>
      </c>
      <c r="C106" s="41" t="s">
        <v>347</v>
      </c>
      <c r="D106" s="27" t="s">
        <v>346</v>
      </c>
      <c r="E106" s="28" t="s">
        <v>0</v>
      </c>
      <c r="F106" s="29"/>
      <c r="G106" s="30">
        <v>80.040000000000006</v>
      </c>
      <c r="H106" s="31">
        <v>117</v>
      </c>
      <c r="I106" s="29"/>
      <c r="J106" s="32">
        <v>136.32</v>
      </c>
      <c r="K106" s="32">
        <v>89</v>
      </c>
      <c r="L106" s="29"/>
      <c r="M106" s="33">
        <v>56.45</v>
      </c>
      <c r="N106" s="33">
        <v>129</v>
      </c>
      <c r="O106" s="29"/>
      <c r="P106" s="34">
        <f>(H106*0.5)+(K106*0.3)+(N106*0.2)</f>
        <v>111</v>
      </c>
    </row>
    <row r="107" spans="2:16" x14ac:dyDescent="0.2">
      <c r="B107" s="25">
        <v>103</v>
      </c>
      <c r="C107" s="41" t="s">
        <v>313</v>
      </c>
      <c r="D107" s="27" t="s">
        <v>312</v>
      </c>
      <c r="E107" s="28" t="s">
        <v>0</v>
      </c>
      <c r="F107" s="29"/>
      <c r="G107" s="30">
        <v>62.11</v>
      </c>
      <c r="H107" s="31">
        <v>120</v>
      </c>
      <c r="I107" s="29"/>
      <c r="J107" s="32">
        <v>119.24000000000001</v>
      </c>
      <c r="K107" s="32">
        <v>96</v>
      </c>
      <c r="L107" s="29"/>
      <c r="M107" s="33">
        <v>61.39</v>
      </c>
      <c r="N107" s="33">
        <v>119</v>
      </c>
      <c r="O107" s="29"/>
      <c r="P107" s="34">
        <f>(H107*0.5)+(K107*0.3)+(N107*0.2)</f>
        <v>112.6</v>
      </c>
    </row>
    <row r="108" spans="2:16" x14ac:dyDescent="0.2">
      <c r="B108" s="25">
        <v>104</v>
      </c>
      <c r="C108" s="41" t="s">
        <v>321</v>
      </c>
      <c r="D108" s="27" t="s">
        <v>320</v>
      </c>
      <c r="E108" s="28" t="s">
        <v>44</v>
      </c>
      <c r="F108" s="29"/>
      <c r="G108" s="30">
        <v>81.100000000000009</v>
      </c>
      <c r="H108" s="31">
        <v>111</v>
      </c>
      <c r="I108" s="29"/>
      <c r="J108" s="32">
        <v>88.600000000000009</v>
      </c>
      <c r="K108" s="32">
        <v>126</v>
      </c>
      <c r="L108" s="29"/>
      <c r="M108" s="33">
        <v>72.8</v>
      </c>
      <c r="N108" s="33">
        <v>111</v>
      </c>
      <c r="O108" s="29"/>
      <c r="P108" s="34">
        <f>(H108*0.5)+(K108*0.3)+(N108*0.2)</f>
        <v>115.5</v>
      </c>
    </row>
    <row r="109" spans="2:16" x14ac:dyDescent="0.2">
      <c r="B109" s="25">
        <v>105</v>
      </c>
      <c r="C109" s="41" t="s">
        <v>341</v>
      </c>
      <c r="D109" s="27" t="s">
        <v>340</v>
      </c>
      <c r="E109" s="28" t="s">
        <v>0</v>
      </c>
      <c r="F109" s="29"/>
      <c r="G109" s="30">
        <v>182.42000000000002</v>
      </c>
      <c r="H109" s="31">
        <v>26</v>
      </c>
      <c r="I109" s="29"/>
      <c r="J109" s="32">
        <v>0</v>
      </c>
      <c r="K109" s="32">
        <v>213</v>
      </c>
      <c r="L109" s="29"/>
      <c r="M109" s="33">
        <v>0</v>
      </c>
      <c r="N109" s="33">
        <v>195</v>
      </c>
      <c r="O109" s="29"/>
      <c r="P109" s="34">
        <f>(H109*0.5)+(K109*0.3)+(N109*0.2)</f>
        <v>115.9</v>
      </c>
    </row>
    <row r="110" spans="2:16" x14ac:dyDescent="0.2">
      <c r="B110" s="25">
        <v>106</v>
      </c>
      <c r="C110" s="41" t="s">
        <v>495</v>
      </c>
      <c r="D110" s="42" t="s">
        <v>494</v>
      </c>
      <c r="E110" s="28" t="s">
        <v>3</v>
      </c>
      <c r="F110" s="29"/>
      <c r="G110" s="30">
        <v>0</v>
      </c>
      <c r="H110" s="43">
        <v>218</v>
      </c>
      <c r="I110" s="29"/>
      <c r="J110" s="32">
        <v>443.19</v>
      </c>
      <c r="K110" s="32">
        <v>6</v>
      </c>
      <c r="L110" s="29"/>
      <c r="M110" s="33">
        <v>236.74</v>
      </c>
      <c r="N110" s="33">
        <v>29</v>
      </c>
      <c r="O110" s="29"/>
      <c r="P110" s="34">
        <f>(H110*0.5)+(K110*0.3)+(N110*0.2)</f>
        <v>116.6</v>
      </c>
    </row>
    <row r="111" spans="2:16" x14ac:dyDescent="0.2">
      <c r="B111" s="25">
        <v>107</v>
      </c>
      <c r="C111" s="41" t="s">
        <v>359</v>
      </c>
      <c r="D111" s="27" t="s">
        <v>358</v>
      </c>
      <c r="E111" s="28" t="s">
        <v>9</v>
      </c>
      <c r="F111" s="29"/>
      <c r="G111" s="30">
        <v>43.89</v>
      </c>
      <c r="H111" s="31">
        <v>161</v>
      </c>
      <c r="I111" s="29"/>
      <c r="J111" s="32">
        <v>183.65</v>
      </c>
      <c r="K111" s="32">
        <v>59</v>
      </c>
      <c r="L111" s="29"/>
      <c r="M111" s="33">
        <v>94.19</v>
      </c>
      <c r="N111" s="33">
        <v>95</v>
      </c>
      <c r="O111" s="29"/>
      <c r="P111" s="34">
        <f>(H111*0.5)+(K111*0.3)+(N111*0.2)</f>
        <v>117.2</v>
      </c>
    </row>
    <row r="112" spans="2:16" x14ac:dyDescent="0.2">
      <c r="B112" s="25">
        <v>108</v>
      </c>
      <c r="C112" s="41" t="s">
        <v>257</v>
      </c>
      <c r="D112" s="27" t="s">
        <v>256</v>
      </c>
      <c r="E112" s="28" t="s">
        <v>6</v>
      </c>
      <c r="F112" s="29"/>
      <c r="G112" s="30">
        <v>111.17</v>
      </c>
      <c r="H112" s="31">
        <v>29</v>
      </c>
      <c r="I112" s="29"/>
      <c r="J112" s="32">
        <v>0</v>
      </c>
      <c r="K112" s="32">
        <v>213</v>
      </c>
      <c r="L112" s="29"/>
      <c r="M112" s="33">
        <v>0</v>
      </c>
      <c r="N112" s="33">
        <v>195</v>
      </c>
      <c r="O112" s="29"/>
      <c r="P112" s="34">
        <f>(H112*0.5)+(K112*0.3)+(N112*0.2)</f>
        <v>117.4</v>
      </c>
    </row>
    <row r="113" spans="2:16" x14ac:dyDescent="0.2">
      <c r="B113" s="25">
        <v>109</v>
      </c>
      <c r="C113" s="41" t="s">
        <v>325</v>
      </c>
      <c r="D113" s="27" t="s">
        <v>324</v>
      </c>
      <c r="E113" s="28" t="s">
        <v>3</v>
      </c>
      <c r="F113" s="29"/>
      <c r="G113" s="30">
        <v>108.06</v>
      </c>
      <c r="H113" s="31">
        <v>88</v>
      </c>
      <c r="I113" s="29"/>
      <c r="J113" s="32">
        <v>93.09</v>
      </c>
      <c r="K113" s="32">
        <v>119</v>
      </c>
      <c r="L113" s="29"/>
      <c r="M113" s="33">
        <v>0</v>
      </c>
      <c r="N113" s="33">
        <v>195</v>
      </c>
      <c r="O113" s="29"/>
      <c r="P113" s="34">
        <f>(H113*0.5)+(K113*0.3)+(N113*0.2)</f>
        <v>118.69999999999999</v>
      </c>
    </row>
    <row r="114" spans="2:16" x14ac:dyDescent="0.2">
      <c r="B114" s="25">
        <v>110</v>
      </c>
      <c r="C114" s="41" t="s">
        <v>397</v>
      </c>
      <c r="D114" s="27" t="s">
        <v>396</v>
      </c>
      <c r="E114" s="28" t="s">
        <v>9</v>
      </c>
      <c r="F114" s="29"/>
      <c r="G114" s="30">
        <v>47.72</v>
      </c>
      <c r="H114" s="35">
        <v>145</v>
      </c>
      <c r="I114" s="29"/>
      <c r="J114" s="32">
        <v>294.78000000000003</v>
      </c>
      <c r="K114" s="32">
        <v>24</v>
      </c>
      <c r="L114" s="29"/>
      <c r="M114" s="33">
        <v>0</v>
      </c>
      <c r="N114" s="33">
        <v>195</v>
      </c>
      <c r="O114" s="29"/>
      <c r="P114" s="34">
        <f>(H114*0.5)+(K114*0.3)+(N114*0.2)</f>
        <v>118.7</v>
      </c>
    </row>
    <row r="115" spans="2:16" x14ac:dyDescent="0.2">
      <c r="B115" s="25">
        <v>111</v>
      </c>
      <c r="C115" s="41" t="s">
        <v>305</v>
      </c>
      <c r="D115" s="27" t="s">
        <v>304</v>
      </c>
      <c r="E115" s="28" t="s">
        <v>6</v>
      </c>
      <c r="F115" s="29"/>
      <c r="G115" s="30">
        <v>48.14</v>
      </c>
      <c r="H115" s="31">
        <v>133</v>
      </c>
      <c r="I115" s="29"/>
      <c r="J115" s="32">
        <v>148.80000000000001</v>
      </c>
      <c r="K115" s="32">
        <v>81</v>
      </c>
      <c r="L115" s="29"/>
      <c r="M115" s="33">
        <v>44.2</v>
      </c>
      <c r="N115" s="33">
        <v>147</v>
      </c>
      <c r="O115" s="29"/>
      <c r="P115" s="34">
        <f>(H115*0.5)+(K115*0.3)+(N115*0.2)</f>
        <v>120.2</v>
      </c>
    </row>
    <row r="116" spans="2:16" x14ac:dyDescent="0.2">
      <c r="B116" s="25">
        <v>112</v>
      </c>
      <c r="C116" s="41" t="s">
        <v>449</v>
      </c>
      <c r="D116" s="42" t="s">
        <v>448</v>
      </c>
      <c r="E116" s="28" t="s">
        <v>3</v>
      </c>
      <c r="F116" s="29"/>
      <c r="G116" s="30">
        <v>0</v>
      </c>
      <c r="H116" s="43">
        <v>218</v>
      </c>
      <c r="I116" s="29"/>
      <c r="J116" s="32">
        <v>301.90000000000003</v>
      </c>
      <c r="K116" s="32">
        <v>21</v>
      </c>
      <c r="L116" s="29"/>
      <c r="M116" s="33">
        <v>255.45000000000002</v>
      </c>
      <c r="N116" s="33">
        <v>25</v>
      </c>
      <c r="O116" s="29"/>
      <c r="P116" s="34">
        <f>(H116*0.5)+(K116*0.3)+(N116*0.2)</f>
        <v>120.3</v>
      </c>
    </row>
    <row r="117" spans="2:16" x14ac:dyDescent="0.2">
      <c r="B117" s="25">
        <v>113</v>
      </c>
      <c r="C117" s="41" t="s">
        <v>309</v>
      </c>
      <c r="D117" s="27" t="s">
        <v>308</v>
      </c>
      <c r="E117" s="28" t="s">
        <v>6</v>
      </c>
      <c r="F117" s="29"/>
      <c r="G117" s="30">
        <v>74.070000000000007</v>
      </c>
      <c r="H117" s="31">
        <v>119</v>
      </c>
      <c r="I117" s="29"/>
      <c r="J117" s="32">
        <v>48.21</v>
      </c>
      <c r="K117" s="32">
        <v>162</v>
      </c>
      <c r="L117" s="29"/>
      <c r="M117" s="33">
        <v>132.04000000000002</v>
      </c>
      <c r="N117" s="33">
        <v>63</v>
      </c>
      <c r="O117" s="29"/>
      <c r="P117" s="34">
        <f>(H117*0.5)+(K117*0.3)+(N117*0.2)</f>
        <v>120.69999999999999</v>
      </c>
    </row>
    <row r="118" spans="2:16" x14ac:dyDescent="0.2">
      <c r="B118" s="25">
        <v>114</v>
      </c>
      <c r="C118" s="41" t="s">
        <v>333</v>
      </c>
      <c r="D118" s="27" t="s">
        <v>332</v>
      </c>
      <c r="E118" s="28" t="s">
        <v>6</v>
      </c>
      <c r="F118" s="29"/>
      <c r="G118" s="30">
        <v>89.460000000000008</v>
      </c>
      <c r="H118" s="31">
        <v>129</v>
      </c>
      <c r="I118" s="29"/>
      <c r="J118" s="32">
        <v>101.10000000000001</v>
      </c>
      <c r="K118" s="32">
        <v>110</v>
      </c>
      <c r="L118" s="29"/>
      <c r="M118" s="33">
        <v>64.45</v>
      </c>
      <c r="N118" s="33">
        <v>117</v>
      </c>
      <c r="O118" s="29"/>
      <c r="P118" s="34">
        <f>(H118*0.5)+(K118*0.3)+(N118*0.2)</f>
        <v>120.9</v>
      </c>
    </row>
    <row r="119" spans="2:16" x14ac:dyDescent="0.2">
      <c r="B119" s="25">
        <v>115</v>
      </c>
      <c r="C119" s="41" t="s">
        <v>367</v>
      </c>
      <c r="D119" s="27" t="s">
        <v>366</v>
      </c>
      <c r="E119" s="28" t="s">
        <v>3</v>
      </c>
      <c r="F119" s="29"/>
      <c r="G119" s="30">
        <v>187.17000000000002</v>
      </c>
      <c r="H119" s="31">
        <v>42</v>
      </c>
      <c r="I119" s="29"/>
      <c r="J119" s="32">
        <v>13.030000000000001</v>
      </c>
      <c r="K119" s="32">
        <v>203</v>
      </c>
      <c r="L119" s="29"/>
      <c r="M119" s="33">
        <v>0</v>
      </c>
      <c r="N119" s="33">
        <v>195</v>
      </c>
      <c r="O119" s="29"/>
      <c r="P119" s="34">
        <f>(H119*0.5)+(K119*0.3)+(N119*0.2)</f>
        <v>120.9</v>
      </c>
    </row>
    <row r="120" spans="2:16" x14ac:dyDescent="0.2">
      <c r="B120" s="25">
        <v>116</v>
      </c>
      <c r="C120" s="41" t="s">
        <v>301</v>
      </c>
      <c r="D120" s="27" t="s">
        <v>300</v>
      </c>
      <c r="E120" s="28" t="s">
        <v>0</v>
      </c>
      <c r="F120" s="29"/>
      <c r="G120" s="30">
        <v>48.36</v>
      </c>
      <c r="H120" s="31">
        <v>137</v>
      </c>
      <c r="I120" s="29"/>
      <c r="J120" s="32">
        <v>87.69</v>
      </c>
      <c r="K120" s="32">
        <v>127</v>
      </c>
      <c r="L120" s="29"/>
      <c r="M120" s="33">
        <v>117.86</v>
      </c>
      <c r="N120" s="33">
        <v>73</v>
      </c>
      <c r="O120" s="29"/>
      <c r="P120" s="34">
        <f>(H120*0.5)+(K120*0.3)+(N120*0.2)</f>
        <v>121.19999999999999</v>
      </c>
    </row>
    <row r="121" spans="2:16" x14ac:dyDescent="0.2">
      <c r="B121" s="25">
        <v>117</v>
      </c>
      <c r="C121" s="41" t="s">
        <v>239</v>
      </c>
      <c r="D121" s="27" t="s">
        <v>238</v>
      </c>
      <c r="E121" s="28" t="s">
        <v>3</v>
      </c>
      <c r="F121" s="29"/>
      <c r="G121" s="30">
        <v>74.070000000000007</v>
      </c>
      <c r="H121" s="31">
        <v>72</v>
      </c>
      <c r="I121" s="29"/>
      <c r="J121" s="32">
        <v>4.1800000000000006</v>
      </c>
      <c r="K121" s="32">
        <v>208</v>
      </c>
      <c r="L121" s="29"/>
      <c r="M121" s="33">
        <v>66.63000000000001</v>
      </c>
      <c r="N121" s="33">
        <v>115</v>
      </c>
      <c r="O121" s="29"/>
      <c r="P121" s="34">
        <f>(H121*0.5)+(K121*0.3)+(N121*0.2)</f>
        <v>121.4</v>
      </c>
    </row>
    <row r="122" spans="2:16" x14ac:dyDescent="0.2">
      <c r="B122" s="25">
        <v>118</v>
      </c>
      <c r="C122" s="41" t="s">
        <v>315</v>
      </c>
      <c r="D122" s="27" t="s">
        <v>314</v>
      </c>
      <c r="E122" s="28" t="s">
        <v>6</v>
      </c>
      <c r="F122" s="29"/>
      <c r="G122" s="30">
        <v>158.62</v>
      </c>
      <c r="H122" s="31">
        <v>41</v>
      </c>
      <c r="I122" s="29"/>
      <c r="J122" s="32">
        <v>0</v>
      </c>
      <c r="K122" s="32">
        <v>213</v>
      </c>
      <c r="L122" s="29"/>
      <c r="M122" s="33">
        <v>0</v>
      </c>
      <c r="N122" s="33">
        <v>195</v>
      </c>
      <c r="O122" s="29"/>
      <c r="P122" s="34">
        <f>(H122*0.5)+(K122*0.3)+(N122*0.2)</f>
        <v>123.4</v>
      </c>
    </row>
    <row r="123" spans="2:16" x14ac:dyDescent="0.2">
      <c r="B123" s="25">
        <v>119</v>
      </c>
      <c r="C123" s="41" t="s">
        <v>431</v>
      </c>
      <c r="D123" s="42" t="s">
        <v>430</v>
      </c>
      <c r="E123" s="28" t="s">
        <v>3</v>
      </c>
      <c r="F123" s="29"/>
      <c r="G123" s="30">
        <v>0</v>
      </c>
      <c r="H123" s="43">
        <v>218</v>
      </c>
      <c r="I123" s="29"/>
      <c r="J123" s="32">
        <v>313.2</v>
      </c>
      <c r="K123" s="32">
        <v>17</v>
      </c>
      <c r="L123" s="29"/>
      <c r="M123" s="33">
        <v>176.97</v>
      </c>
      <c r="N123" s="33">
        <v>48</v>
      </c>
      <c r="O123" s="29"/>
      <c r="P123" s="34">
        <f>(H123*0.5)+(K123*0.3)+(N123*0.2)</f>
        <v>123.69999999999999</v>
      </c>
    </row>
    <row r="124" spans="2:16" x14ac:dyDescent="0.2">
      <c r="B124" s="25">
        <v>120</v>
      </c>
      <c r="C124" s="41" t="s">
        <v>339</v>
      </c>
      <c r="D124" s="27" t="s">
        <v>338</v>
      </c>
      <c r="E124" s="28" t="s">
        <v>3</v>
      </c>
      <c r="F124" s="29"/>
      <c r="G124" s="30">
        <v>83.210000000000008</v>
      </c>
      <c r="H124" s="31">
        <v>143</v>
      </c>
      <c r="I124" s="29"/>
      <c r="J124" s="32">
        <v>100.09</v>
      </c>
      <c r="K124" s="32">
        <v>113</v>
      </c>
      <c r="L124" s="29"/>
      <c r="M124" s="33">
        <v>93.86</v>
      </c>
      <c r="N124" s="33">
        <v>96</v>
      </c>
      <c r="O124" s="29"/>
      <c r="P124" s="34">
        <f>(H124*0.5)+(K124*0.3)+(N124*0.2)</f>
        <v>124.60000000000001</v>
      </c>
    </row>
    <row r="125" spans="2:16" x14ac:dyDescent="0.2">
      <c r="B125" s="25">
        <v>121</v>
      </c>
      <c r="C125" s="41" t="s">
        <v>323</v>
      </c>
      <c r="D125" s="27" t="s">
        <v>322</v>
      </c>
      <c r="E125" s="28" t="s">
        <v>3</v>
      </c>
      <c r="F125" s="29"/>
      <c r="G125" s="30">
        <v>84.6</v>
      </c>
      <c r="H125" s="31">
        <v>130</v>
      </c>
      <c r="I125" s="29"/>
      <c r="J125" s="32">
        <v>69.27000000000001</v>
      </c>
      <c r="K125" s="32">
        <v>140</v>
      </c>
      <c r="L125" s="29"/>
      <c r="M125" s="33">
        <v>94.26</v>
      </c>
      <c r="N125" s="33">
        <v>94</v>
      </c>
      <c r="O125" s="29"/>
      <c r="P125" s="34">
        <f>(H125*0.5)+(K125*0.3)+(N125*0.2)</f>
        <v>125.8</v>
      </c>
    </row>
    <row r="126" spans="2:16" x14ac:dyDescent="0.2">
      <c r="B126" s="25">
        <v>122</v>
      </c>
      <c r="C126" s="41" t="s">
        <v>279</v>
      </c>
      <c r="D126" s="27" t="s">
        <v>278</v>
      </c>
      <c r="E126" s="28" t="s">
        <v>20</v>
      </c>
      <c r="F126" s="29"/>
      <c r="G126" s="30">
        <v>130.89000000000001</v>
      </c>
      <c r="H126" s="31">
        <v>46</v>
      </c>
      <c r="I126" s="29"/>
      <c r="J126" s="32">
        <v>0</v>
      </c>
      <c r="K126" s="32">
        <v>213</v>
      </c>
      <c r="L126" s="29"/>
      <c r="M126" s="33">
        <v>0</v>
      </c>
      <c r="N126" s="33">
        <v>195</v>
      </c>
      <c r="O126" s="29"/>
      <c r="P126" s="34">
        <f>(H126*0.5)+(K126*0.3)+(N126*0.2)</f>
        <v>125.9</v>
      </c>
    </row>
    <row r="127" spans="2:16" x14ac:dyDescent="0.2">
      <c r="B127" s="25">
        <v>123</v>
      </c>
      <c r="C127" s="41" t="s">
        <v>259</v>
      </c>
      <c r="D127" s="27" t="s">
        <v>258</v>
      </c>
      <c r="E127" s="28" t="s">
        <v>6</v>
      </c>
      <c r="F127" s="29"/>
      <c r="G127" s="30">
        <v>59.290000000000013</v>
      </c>
      <c r="H127" s="31">
        <v>115</v>
      </c>
      <c r="I127" s="29"/>
      <c r="J127" s="32">
        <v>57.300000000000004</v>
      </c>
      <c r="K127" s="32">
        <v>150</v>
      </c>
      <c r="L127" s="29"/>
      <c r="M127" s="33">
        <v>60.580000000000013</v>
      </c>
      <c r="N127" s="33">
        <v>121</v>
      </c>
      <c r="O127" s="29"/>
      <c r="P127" s="34">
        <f>(H127*0.5)+(K127*0.3)+(N127*0.2)</f>
        <v>126.7</v>
      </c>
    </row>
    <row r="128" spans="2:16" x14ac:dyDescent="0.2">
      <c r="B128" s="25">
        <v>124</v>
      </c>
      <c r="C128" s="41" t="s">
        <v>285</v>
      </c>
      <c r="D128" s="27" t="s">
        <v>284</v>
      </c>
      <c r="E128" s="28" t="s">
        <v>29</v>
      </c>
      <c r="F128" s="29"/>
      <c r="G128" s="30">
        <v>88.15</v>
      </c>
      <c r="H128" s="31">
        <v>96</v>
      </c>
      <c r="I128" s="29"/>
      <c r="J128" s="32">
        <v>50.86</v>
      </c>
      <c r="K128" s="32">
        <v>157</v>
      </c>
      <c r="L128" s="29"/>
      <c r="M128" s="33">
        <v>32.730000000000004</v>
      </c>
      <c r="N128" s="33">
        <v>159</v>
      </c>
      <c r="O128" s="29"/>
      <c r="P128" s="34">
        <f>(H128*0.5)+(K128*0.3)+(N128*0.2)</f>
        <v>126.89999999999999</v>
      </c>
    </row>
    <row r="129" spans="2:16" x14ac:dyDescent="0.2">
      <c r="B129" s="25">
        <v>125</v>
      </c>
      <c r="C129" s="41" t="s">
        <v>373</v>
      </c>
      <c r="D129" s="27" t="s">
        <v>372</v>
      </c>
      <c r="E129" s="28" t="s">
        <v>3</v>
      </c>
      <c r="F129" s="29"/>
      <c r="G129" s="30">
        <v>98.93</v>
      </c>
      <c r="H129" s="31">
        <v>135</v>
      </c>
      <c r="I129" s="29"/>
      <c r="J129" s="32">
        <v>41.28</v>
      </c>
      <c r="K129" s="32">
        <v>174</v>
      </c>
      <c r="L129" s="29"/>
      <c r="M129" s="33">
        <v>186.79000000000005</v>
      </c>
      <c r="N129" s="33">
        <v>40</v>
      </c>
      <c r="O129" s="29"/>
      <c r="P129" s="34">
        <f>(H129*0.5)+(K129*0.3)+(N129*0.2)</f>
        <v>127.69999999999999</v>
      </c>
    </row>
    <row r="130" spans="2:16" x14ac:dyDescent="0.2">
      <c r="B130" s="25">
        <v>126</v>
      </c>
      <c r="C130" s="41" t="s">
        <v>365</v>
      </c>
      <c r="D130" s="27" t="s">
        <v>364</v>
      </c>
      <c r="E130" s="28" t="s">
        <v>3</v>
      </c>
      <c r="F130" s="29"/>
      <c r="G130" s="30">
        <v>5.41</v>
      </c>
      <c r="H130" s="31">
        <v>208</v>
      </c>
      <c r="I130" s="29"/>
      <c r="J130" s="32">
        <v>191.84</v>
      </c>
      <c r="K130" s="32">
        <v>53</v>
      </c>
      <c r="L130" s="29"/>
      <c r="M130" s="33">
        <v>184.82000000000005</v>
      </c>
      <c r="N130" s="33">
        <v>42</v>
      </c>
      <c r="O130" s="29"/>
      <c r="P130" s="34">
        <f>(H130*0.5)+(K130*0.3)+(N130*0.2)</f>
        <v>128.30000000000001</v>
      </c>
    </row>
    <row r="131" spans="2:16" x14ac:dyDescent="0.2">
      <c r="B131" s="25">
        <v>127</v>
      </c>
      <c r="C131" s="41" t="s">
        <v>265</v>
      </c>
      <c r="D131" s="27" t="s">
        <v>264</v>
      </c>
      <c r="E131" s="28" t="s">
        <v>0</v>
      </c>
      <c r="F131" s="29"/>
      <c r="G131" s="30">
        <v>122.14</v>
      </c>
      <c r="H131" s="31">
        <v>53</v>
      </c>
      <c r="I131" s="29"/>
      <c r="J131" s="32">
        <v>0</v>
      </c>
      <c r="K131" s="32">
        <v>213</v>
      </c>
      <c r="L131" s="29"/>
      <c r="M131" s="33">
        <v>0</v>
      </c>
      <c r="N131" s="33">
        <v>195</v>
      </c>
      <c r="O131" s="29"/>
      <c r="P131" s="34">
        <f>(H131*0.5)+(K131*0.3)+(N131*0.2)</f>
        <v>129.4</v>
      </c>
    </row>
    <row r="132" spans="2:16" x14ac:dyDescent="0.2">
      <c r="B132" s="25">
        <v>128</v>
      </c>
      <c r="C132" s="41" t="s">
        <v>327</v>
      </c>
      <c r="D132" s="27" t="s">
        <v>326</v>
      </c>
      <c r="E132" s="28" t="s">
        <v>44</v>
      </c>
      <c r="F132" s="29"/>
      <c r="G132" s="30">
        <v>13.59</v>
      </c>
      <c r="H132" s="31">
        <v>191</v>
      </c>
      <c r="I132" s="29"/>
      <c r="J132" s="32">
        <v>157.49</v>
      </c>
      <c r="K132" s="32">
        <v>77</v>
      </c>
      <c r="L132" s="29"/>
      <c r="M132" s="33">
        <v>152.17000000000002</v>
      </c>
      <c r="N132" s="33">
        <v>55</v>
      </c>
      <c r="O132" s="29"/>
      <c r="P132" s="34">
        <f>(H132*0.5)+(K132*0.3)+(N132*0.2)</f>
        <v>129.6</v>
      </c>
    </row>
    <row r="133" spans="2:16" x14ac:dyDescent="0.2">
      <c r="B133" s="25">
        <v>129</v>
      </c>
      <c r="C133" s="41" t="s">
        <v>267</v>
      </c>
      <c r="D133" s="27" t="s">
        <v>266</v>
      </c>
      <c r="E133" s="28" t="s">
        <v>9</v>
      </c>
      <c r="F133" s="29"/>
      <c r="G133" s="30">
        <v>51.02</v>
      </c>
      <c r="H133" s="31">
        <v>132</v>
      </c>
      <c r="I133" s="29"/>
      <c r="J133" s="32">
        <v>79.87</v>
      </c>
      <c r="K133" s="32">
        <v>131</v>
      </c>
      <c r="L133" s="29"/>
      <c r="M133" s="33">
        <v>59.52</v>
      </c>
      <c r="N133" s="33">
        <v>125</v>
      </c>
      <c r="O133" s="29"/>
      <c r="P133" s="34">
        <f>(H133*0.5)+(K133*0.3)+(N133*0.2)</f>
        <v>130.30000000000001</v>
      </c>
    </row>
    <row r="134" spans="2:16" x14ac:dyDescent="0.2">
      <c r="B134" s="25">
        <v>130</v>
      </c>
      <c r="C134" s="41" t="s">
        <v>319</v>
      </c>
      <c r="D134" s="27" t="s">
        <v>318</v>
      </c>
      <c r="E134" s="28" t="s">
        <v>0</v>
      </c>
      <c r="F134" s="29"/>
      <c r="G134" s="30">
        <v>163.14000000000001</v>
      </c>
      <c r="H134" s="31">
        <v>55</v>
      </c>
      <c r="I134" s="29"/>
      <c r="J134" s="32">
        <v>0</v>
      </c>
      <c r="K134" s="32">
        <v>213</v>
      </c>
      <c r="L134" s="29"/>
      <c r="M134" s="33">
        <v>0</v>
      </c>
      <c r="N134" s="33">
        <v>195</v>
      </c>
      <c r="O134" s="29"/>
      <c r="P134" s="34">
        <f>(H134*0.5)+(K134*0.3)+(N134*0.2)</f>
        <v>130.4</v>
      </c>
    </row>
    <row r="135" spans="2:16" x14ac:dyDescent="0.2">
      <c r="B135" s="25">
        <v>131</v>
      </c>
      <c r="C135" s="41" t="s">
        <v>271</v>
      </c>
      <c r="D135" s="27" t="s">
        <v>270</v>
      </c>
      <c r="E135" s="28" t="s">
        <v>3</v>
      </c>
      <c r="F135" s="29"/>
      <c r="G135" s="30">
        <v>103.23</v>
      </c>
      <c r="H135" s="31">
        <v>80</v>
      </c>
      <c r="I135" s="29"/>
      <c r="J135" s="32">
        <v>36.67</v>
      </c>
      <c r="K135" s="32">
        <v>178</v>
      </c>
      <c r="L135" s="29"/>
      <c r="M135" s="33">
        <v>0</v>
      </c>
      <c r="N135" s="33">
        <v>195</v>
      </c>
      <c r="O135" s="29"/>
      <c r="P135" s="34">
        <f>(H135*0.5)+(K135*0.3)+(N135*0.2)</f>
        <v>132.4</v>
      </c>
    </row>
    <row r="136" spans="2:16" x14ac:dyDescent="0.2">
      <c r="B136" s="25">
        <v>132</v>
      </c>
      <c r="C136" s="41" t="s">
        <v>417</v>
      </c>
      <c r="D136" s="27" t="s">
        <v>416</v>
      </c>
      <c r="E136" s="28" t="s">
        <v>3</v>
      </c>
      <c r="F136" s="29"/>
      <c r="G136" s="30">
        <v>246.38000000000005</v>
      </c>
      <c r="H136" s="31">
        <v>59</v>
      </c>
      <c r="I136" s="29"/>
      <c r="J136" s="32">
        <v>0</v>
      </c>
      <c r="K136" s="32">
        <v>213</v>
      </c>
      <c r="L136" s="29"/>
      <c r="M136" s="33">
        <v>0</v>
      </c>
      <c r="N136" s="33">
        <v>195</v>
      </c>
      <c r="O136" s="29"/>
      <c r="P136" s="34">
        <f>(H136*0.5)+(K136*0.3)+(N136*0.2)</f>
        <v>132.4</v>
      </c>
    </row>
    <row r="137" spans="2:16" x14ac:dyDescent="0.2">
      <c r="B137" s="25">
        <v>133</v>
      </c>
      <c r="C137" s="41" t="s">
        <v>303</v>
      </c>
      <c r="D137" s="27" t="s">
        <v>302</v>
      </c>
      <c r="E137" s="28" t="s">
        <v>6</v>
      </c>
      <c r="F137" s="29"/>
      <c r="G137" s="30">
        <v>44.300000000000004</v>
      </c>
      <c r="H137" s="31">
        <v>172</v>
      </c>
      <c r="I137" s="29"/>
      <c r="J137" s="32">
        <v>97.320000000000007</v>
      </c>
      <c r="K137" s="32">
        <v>114</v>
      </c>
      <c r="L137" s="29"/>
      <c r="M137" s="33">
        <v>130.86000000000001</v>
      </c>
      <c r="N137" s="33">
        <v>64</v>
      </c>
      <c r="O137" s="29"/>
      <c r="P137" s="34">
        <f>(H137*0.5)+(K137*0.3)+(N137*0.2)</f>
        <v>133</v>
      </c>
    </row>
    <row r="138" spans="2:16" x14ac:dyDescent="0.2">
      <c r="B138" s="25">
        <v>134</v>
      </c>
      <c r="C138" s="41" t="s">
        <v>261</v>
      </c>
      <c r="D138" s="27" t="s">
        <v>260</v>
      </c>
      <c r="E138" s="28" t="s">
        <v>3</v>
      </c>
      <c r="F138" s="29"/>
      <c r="G138" s="30">
        <v>118.71000000000001</v>
      </c>
      <c r="H138" s="31">
        <v>61</v>
      </c>
      <c r="I138" s="29"/>
      <c r="J138" s="32">
        <v>0</v>
      </c>
      <c r="K138" s="32">
        <v>213</v>
      </c>
      <c r="L138" s="29"/>
      <c r="M138" s="33">
        <v>0</v>
      </c>
      <c r="N138" s="33">
        <v>195</v>
      </c>
      <c r="O138" s="29"/>
      <c r="P138" s="34">
        <f>(H138*0.5)+(K138*0.3)+(N138*0.2)</f>
        <v>133.4</v>
      </c>
    </row>
    <row r="139" spans="2:16" x14ac:dyDescent="0.2">
      <c r="B139" s="25">
        <v>135</v>
      </c>
      <c r="C139" s="41" t="s">
        <v>289</v>
      </c>
      <c r="D139" s="27" t="s">
        <v>288</v>
      </c>
      <c r="E139" s="28" t="s">
        <v>9</v>
      </c>
      <c r="F139" s="29"/>
      <c r="G139" s="30">
        <v>57.260000000000012</v>
      </c>
      <c r="H139" s="31">
        <v>142</v>
      </c>
      <c r="I139" s="29"/>
      <c r="J139" s="32">
        <v>74.3</v>
      </c>
      <c r="K139" s="32">
        <v>138</v>
      </c>
      <c r="L139" s="29"/>
      <c r="M139" s="33">
        <v>78.740000000000009</v>
      </c>
      <c r="N139" s="33">
        <v>106</v>
      </c>
      <c r="O139" s="29"/>
      <c r="P139" s="34">
        <f>(H139*0.5)+(K139*0.3)+(N139*0.2)</f>
        <v>133.60000000000002</v>
      </c>
    </row>
    <row r="140" spans="2:16" x14ac:dyDescent="0.2">
      <c r="B140" s="25">
        <v>136</v>
      </c>
      <c r="C140" s="41" t="s">
        <v>281</v>
      </c>
      <c r="D140" s="27" t="s">
        <v>280</v>
      </c>
      <c r="E140" s="28" t="s">
        <v>29</v>
      </c>
      <c r="F140" s="29"/>
      <c r="G140" s="30">
        <v>46.980000000000004</v>
      </c>
      <c r="H140" s="31">
        <v>150</v>
      </c>
      <c r="I140" s="29"/>
      <c r="J140" s="32">
        <v>88.710000000000008</v>
      </c>
      <c r="K140" s="32">
        <v>125</v>
      </c>
      <c r="L140" s="29"/>
      <c r="M140" s="33">
        <v>77.88000000000001</v>
      </c>
      <c r="N140" s="33">
        <v>107</v>
      </c>
      <c r="O140" s="29"/>
      <c r="P140" s="34">
        <f>(H140*0.5)+(K140*0.3)+(N140*0.2)</f>
        <v>133.9</v>
      </c>
    </row>
    <row r="141" spans="2:16" x14ac:dyDescent="0.2">
      <c r="B141" s="25">
        <v>137</v>
      </c>
      <c r="C141" s="41" t="s">
        <v>419</v>
      </c>
      <c r="D141" s="27" t="s">
        <v>418</v>
      </c>
      <c r="E141" s="28" t="s">
        <v>9</v>
      </c>
      <c r="F141" s="29"/>
      <c r="G141" s="30">
        <v>2.4</v>
      </c>
      <c r="H141" s="31">
        <v>214</v>
      </c>
      <c r="I141" s="29"/>
      <c r="J141" s="32">
        <v>137.36000000000001</v>
      </c>
      <c r="K141" s="32">
        <v>86</v>
      </c>
      <c r="L141" s="29"/>
      <c r="M141" s="33">
        <v>406.21000000000004</v>
      </c>
      <c r="N141" s="33">
        <v>6</v>
      </c>
      <c r="O141" s="29"/>
      <c r="P141" s="34">
        <f>(H141*0.5)+(K141*0.3)+(N141*0.2)</f>
        <v>134</v>
      </c>
    </row>
    <row r="142" spans="2:16" x14ac:dyDescent="0.2">
      <c r="B142" s="25">
        <v>138</v>
      </c>
      <c r="C142" s="41" t="s">
        <v>297</v>
      </c>
      <c r="D142" s="27" t="s">
        <v>296</v>
      </c>
      <c r="E142" s="28" t="s">
        <v>0</v>
      </c>
      <c r="F142" s="29"/>
      <c r="G142" s="30">
        <v>59.6</v>
      </c>
      <c r="H142" s="31">
        <v>148</v>
      </c>
      <c r="I142" s="29"/>
      <c r="J142" s="32">
        <v>63.830000000000013</v>
      </c>
      <c r="K142" s="32">
        <v>146</v>
      </c>
      <c r="L142" s="29"/>
      <c r="M142" s="33">
        <v>113.89</v>
      </c>
      <c r="N142" s="33">
        <v>81</v>
      </c>
      <c r="O142" s="29"/>
      <c r="P142" s="34">
        <f>(H142*0.5)+(K142*0.3)+(N142*0.2)</f>
        <v>134</v>
      </c>
    </row>
    <row r="143" spans="2:16" x14ac:dyDescent="0.2">
      <c r="B143" s="25">
        <v>139</v>
      </c>
      <c r="C143" s="41" t="s">
        <v>237</v>
      </c>
      <c r="D143" s="27" t="s">
        <v>236</v>
      </c>
      <c r="E143" s="28" t="s">
        <v>3</v>
      </c>
      <c r="F143" s="29"/>
      <c r="G143" s="30">
        <v>33.08</v>
      </c>
      <c r="H143" s="31">
        <v>138</v>
      </c>
      <c r="I143" s="29"/>
      <c r="J143" s="32">
        <v>75.740000000000009</v>
      </c>
      <c r="K143" s="32">
        <v>135</v>
      </c>
      <c r="L143" s="29"/>
      <c r="M143" s="33">
        <v>60.11</v>
      </c>
      <c r="N143" s="33">
        <v>123</v>
      </c>
      <c r="O143" s="29"/>
      <c r="P143" s="34">
        <f>(H143*0.5)+(K143*0.3)+(N143*0.2)</f>
        <v>134.1</v>
      </c>
    </row>
    <row r="144" spans="2:16" x14ac:dyDescent="0.2">
      <c r="B144" s="25">
        <v>140</v>
      </c>
      <c r="C144" s="41" t="s">
        <v>287</v>
      </c>
      <c r="D144" s="27" t="s">
        <v>286</v>
      </c>
      <c r="E144" s="28" t="s">
        <v>0</v>
      </c>
      <c r="F144" s="29"/>
      <c r="G144" s="30">
        <v>47.77</v>
      </c>
      <c r="H144" s="31">
        <v>149</v>
      </c>
      <c r="I144" s="29"/>
      <c r="J144" s="32">
        <v>46.93</v>
      </c>
      <c r="K144" s="32">
        <v>163</v>
      </c>
      <c r="L144" s="29"/>
      <c r="M144" s="33">
        <v>141.48000000000002</v>
      </c>
      <c r="N144" s="33">
        <v>59</v>
      </c>
      <c r="O144" s="29"/>
      <c r="P144" s="34">
        <f>(H144*0.5)+(K144*0.3)+(N144*0.2)</f>
        <v>135.20000000000002</v>
      </c>
    </row>
    <row r="145" spans="2:16" x14ac:dyDescent="0.2">
      <c r="B145" s="25">
        <v>141</v>
      </c>
      <c r="C145" s="41" t="s">
        <v>295</v>
      </c>
      <c r="D145" s="27" t="s">
        <v>294</v>
      </c>
      <c r="E145" s="28" t="s">
        <v>29</v>
      </c>
      <c r="F145" s="29"/>
      <c r="G145" s="30">
        <v>80.7</v>
      </c>
      <c r="H145" s="31">
        <v>128</v>
      </c>
      <c r="I145" s="29"/>
      <c r="J145" s="32">
        <v>57.800000000000004</v>
      </c>
      <c r="K145" s="32">
        <v>149</v>
      </c>
      <c r="L145" s="29"/>
      <c r="M145" s="33">
        <v>53.61</v>
      </c>
      <c r="N145" s="33">
        <v>133</v>
      </c>
      <c r="O145" s="29"/>
      <c r="P145" s="34">
        <f>(H145*0.5)+(K145*0.3)+(N145*0.2)</f>
        <v>135.29999999999998</v>
      </c>
    </row>
    <row r="146" spans="2:16" x14ac:dyDescent="0.2">
      <c r="B146" s="25">
        <v>142</v>
      </c>
      <c r="C146" s="41" t="s">
        <v>211</v>
      </c>
      <c r="D146" s="27" t="s">
        <v>210</v>
      </c>
      <c r="E146" s="28" t="s">
        <v>6</v>
      </c>
      <c r="F146" s="29"/>
      <c r="G146" s="30">
        <v>84.56</v>
      </c>
      <c r="H146" s="31">
        <v>68</v>
      </c>
      <c r="I146" s="29"/>
      <c r="J146" s="32">
        <v>0</v>
      </c>
      <c r="K146" s="32">
        <v>213</v>
      </c>
      <c r="L146" s="29"/>
      <c r="M146" s="33">
        <v>0</v>
      </c>
      <c r="N146" s="33">
        <v>195</v>
      </c>
      <c r="O146" s="29"/>
      <c r="P146" s="34">
        <f>(H146*0.5)+(K146*0.3)+(N146*0.2)</f>
        <v>136.9</v>
      </c>
    </row>
    <row r="147" spans="2:16" x14ac:dyDescent="0.2">
      <c r="B147" s="25">
        <v>143</v>
      </c>
      <c r="C147" s="41" t="s">
        <v>255</v>
      </c>
      <c r="D147" s="27" t="s">
        <v>254</v>
      </c>
      <c r="E147" s="28" t="s">
        <v>3</v>
      </c>
      <c r="F147" s="29"/>
      <c r="G147" s="30">
        <v>59.540000000000013</v>
      </c>
      <c r="H147" s="31">
        <v>124</v>
      </c>
      <c r="I147" s="29"/>
      <c r="J147" s="32">
        <v>53.6</v>
      </c>
      <c r="K147" s="32">
        <v>156</v>
      </c>
      <c r="L147" s="29"/>
      <c r="M147" s="33">
        <v>47.910000000000004</v>
      </c>
      <c r="N147" s="33">
        <v>142</v>
      </c>
      <c r="O147" s="29"/>
      <c r="P147" s="34">
        <f>(H147*0.5)+(K147*0.3)+(N147*0.2)</f>
        <v>137.19999999999999</v>
      </c>
    </row>
    <row r="148" spans="2:16" x14ac:dyDescent="0.2">
      <c r="B148" s="25">
        <v>144</v>
      </c>
      <c r="C148" s="41" t="s">
        <v>243</v>
      </c>
      <c r="D148" s="27" t="s">
        <v>242</v>
      </c>
      <c r="E148" s="28" t="s">
        <v>6</v>
      </c>
      <c r="F148" s="29"/>
      <c r="G148" s="30">
        <v>24.69</v>
      </c>
      <c r="H148" s="31">
        <v>154</v>
      </c>
      <c r="I148" s="29"/>
      <c r="J148" s="32">
        <v>75.44</v>
      </c>
      <c r="K148" s="32">
        <v>136</v>
      </c>
      <c r="L148" s="29"/>
      <c r="M148" s="33">
        <v>87.05</v>
      </c>
      <c r="N148" s="33">
        <v>101</v>
      </c>
      <c r="O148" s="29"/>
      <c r="P148" s="34">
        <f>(H148*0.5)+(K148*0.3)+(N148*0.2)</f>
        <v>138</v>
      </c>
    </row>
    <row r="149" spans="2:16" x14ac:dyDescent="0.2">
      <c r="B149" s="25">
        <v>145</v>
      </c>
      <c r="C149" s="41" t="s">
        <v>283</v>
      </c>
      <c r="D149" s="27" t="s">
        <v>282</v>
      </c>
      <c r="E149" s="28" t="s">
        <v>44</v>
      </c>
      <c r="F149" s="29"/>
      <c r="G149" s="30">
        <v>131.58000000000001</v>
      </c>
      <c r="H149" s="31">
        <v>71</v>
      </c>
      <c r="I149" s="29"/>
      <c r="J149" s="32">
        <v>0</v>
      </c>
      <c r="K149" s="32">
        <v>213</v>
      </c>
      <c r="L149" s="29"/>
      <c r="M149" s="33">
        <v>0</v>
      </c>
      <c r="N149" s="33">
        <v>195</v>
      </c>
      <c r="O149" s="29"/>
      <c r="P149" s="34">
        <f>(H149*0.5)+(K149*0.3)+(N149*0.2)</f>
        <v>138.4</v>
      </c>
    </row>
    <row r="150" spans="2:16" x14ac:dyDescent="0.2">
      <c r="B150" s="25">
        <v>146</v>
      </c>
      <c r="C150" s="41" t="s">
        <v>223</v>
      </c>
      <c r="D150" s="27" t="s">
        <v>222</v>
      </c>
      <c r="E150" s="28" t="s">
        <v>6</v>
      </c>
      <c r="F150" s="29"/>
      <c r="G150" s="30">
        <v>63.2</v>
      </c>
      <c r="H150" s="31">
        <v>100</v>
      </c>
      <c r="I150" s="29"/>
      <c r="J150" s="32">
        <v>32.75</v>
      </c>
      <c r="K150" s="32">
        <v>185</v>
      </c>
      <c r="L150" s="29"/>
      <c r="M150" s="33">
        <v>22.03</v>
      </c>
      <c r="N150" s="33">
        <v>174</v>
      </c>
      <c r="O150" s="29"/>
      <c r="P150" s="34">
        <f>(H150*0.5)+(K150*0.3)+(N150*0.2)</f>
        <v>140.30000000000001</v>
      </c>
    </row>
    <row r="151" spans="2:16" x14ac:dyDescent="0.2">
      <c r="B151" s="25">
        <v>147</v>
      </c>
      <c r="C151" s="41" t="s">
        <v>399</v>
      </c>
      <c r="D151" s="42" t="s">
        <v>398</v>
      </c>
      <c r="E151" s="28" t="s">
        <v>9</v>
      </c>
      <c r="F151" s="29"/>
      <c r="G151" s="30">
        <v>0</v>
      </c>
      <c r="H151" s="43">
        <v>218</v>
      </c>
      <c r="I151" s="29"/>
      <c r="J151" s="32">
        <v>342.8</v>
      </c>
      <c r="K151" s="32">
        <v>13</v>
      </c>
      <c r="L151" s="29"/>
      <c r="M151" s="33">
        <v>47.39</v>
      </c>
      <c r="N151" s="33">
        <v>143</v>
      </c>
      <c r="O151" s="29"/>
      <c r="P151" s="34">
        <f>(H151*0.5)+(K151*0.3)+(N151*0.2)</f>
        <v>141.5</v>
      </c>
    </row>
    <row r="152" spans="2:16" x14ac:dyDescent="0.2">
      <c r="B152" s="25">
        <v>148</v>
      </c>
      <c r="C152" s="41" t="s">
        <v>307</v>
      </c>
      <c r="D152" s="42" t="s">
        <v>306</v>
      </c>
      <c r="E152" s="28" t="s">
        <v>0</v>
      </c>
      <c r="F152" s="29"/>
      <c r="G152" s="30">
        <v>0</v>
      </c>
      <c r="H152" s="43">
        <v>218</v>
      </c>
      <c r="I152" s="29"/>
      <c r="J152" s="32">
        <v>172.84</v>
      </c>
      <c r="K152" s="32">
        <v>65</v>
      </c>
      <c r="L152" s="29"/>
      <c r="M152" s="33">
        <v>128.94</v>
      </c>
      <c r="N152" s="33">
        <v>67</v>
      </c>
      <c r="O152" s="29"/>
      <c r="P152" s="34">
        <f>(H152*0.5)+(K152*0.3)+(N152*0.2)</f>
        <v>141.9</v>
      </c>
    </row>
    <row r="153" spans="2:16" x14ac:dyDescent="0.2">
      <c r="B153" s="25">
        <v>149</v>
      </c>
      <c r="C153" s="41" t="s">
        <v>311</v>
      </c>
      <c r="D153" s="27" t="s">
        <v>310</v>
      </c>
      <c r="E153" s="28" t="s">
        <v>3</v>
      </c>
      <c r="F153" s="29"/>
      <c r="G153" s="30">
        <v>8.0500000000000007</v>
      </c>
      <c r="H153" s="40">
        <v>203</v>
      </c>
      <c r="I153" s="29"/>
      <c r="J153" s="32">
        <v>82.380000000000024</v>
      </c>
      <c r="K153" s="32">
        <v>129</v>
      </c>
      <c r="L153" s="29"/>
      <c r="M153" s="33">
        <v>251.45000000000002</v>
      </c>
      <c r="N153" s="33">
        <v>26</v>
      </c>
      <c r="O153" s="29"/>
      <c r="P153" s="34">
        <f>(H153*0.5)+(K153*0.3)+(N153*0.2)</f>
        <v>145.39999999999998</v>
      </c>
    </row>
    <row r="154" spans="2:16" x14ac:dyDescent="0.2">
      <c r="B154" s="25">
        <v>150</v>
      </c>
      <c r="C154" s="41" t="s">
        <v>249</v>
      </c>
      <c r="D154" s="27" t="s">
        <v>248</v>
      </c>
      <c r="E154" s="28" t="s">
        <v>3</v>
      </c>
      <c r="F154" s="29"/>
      <c r="G154" s="30">
        <v>68.48</v>
      </c>
      <c r="H154" s="31">
        <v>126</v>
      </c>
      <c r="I154" s="29"/>
      <c r="J154" s="32">
        <v>44.11</v>
      </c>
      <c r="K154" s="32">
        <v>167</v>
      </c>
      <c r="L154" s="29"/>
      <c r="M154" s="33">
        <v>30.92</v>
      </c>
      <c r="N154" s="33">
        <v>163</v>
      </c>
      <c r="O154" s="29"/>
      <c r="P154" s="34">
        <f>(H154*0.5)+(K154*0.3)+(N154*0.2)</f>
        <v>145.69999999999999</v>
      </c>
    </row>
    <row r="155" spans="2:16" x14ac:dyDescent="0.2">
      <c r="B155" s="25">
        <v>151</v>
      </c>
      <c r="C155" s="41" t="s">
        <v>227</v>
      </c>
      <c r="D155" s="27" t="s">
        <v>226</v>
      </c>
      <c r="E155" s="28" t="s">
        <v>44</v>
      </c>
      <c r="F155" s="29"/>
      <c r="G155" s="30">
        <v>29.860000000000007</v>
      </c>
      <c r="H155" s="31">
        <v>155</v>
      </c>
      <c r="I155" s="29"/>
      <c r="J155" s="32">
        <v>46.330000000000013</v>
      </c>
      <c r="K155" s="32">
        <v>164</v>
      </c>
      <c r="L155" s="29"/>
      <c r="M155" s="33">
        <v>92.100000000000009</v>
      </c>
      <c r="N155" s="33">
        <v>99</v>
      </c>
      <c r="O155" s="29"/>
      <c r="P155" s="34">
        <f>(H155*0.5)+(K155*0.3)+(N155*0.2)</f>
        <v>146.5</v>
      </c>
    </row>
    <row r="156" spans="2:16" x14ac:dyDescent="0.2">
      <c r="B156" s="25">
        <v>152</v>
      </c>
      <c r="C156" s="41" t="s">
        <v>184</v>
      </c>
      <c r="D156" s="27" t="s">
        <v>183</v>
      </c>
      <c r="E156" s="28" t="s">
        <v>6</v>
      </c>
      <c r="F156" s="29"/>
      <c r="G156" s="30">
        <v>68.28</v>
      </c>
      <c r="H156" s="31">
        <v>89</v>
      </c>
      <c r="I156" s="29"/>
      <c r="J156" s="32">
        <v>0</v>
      </c>
      <c r="K156" s="32">
        <v>213</v>
      </c>
      <c r="L156" s="29"/>
      <c r="M156" s="33">
        <v>0</v>
      </c>
      <c r="N156" s="33">
        <v>195</v>
      </c>
      <c r="O156" s="29"/>
      <c r="P156" s="34">
        <f>(H156*0.5)+(K156*0.3)+(N156*0.2)</f>
        <v>147.4</v>
      </c>
    </row>
    <row r="157" spans="2:16" x14ac:dyDescent="0.2">
      <c r="B157" s="25">
        <v>153</v>
      </c>
      <c r="C157" s="41" t="s">
        <v>186</v>
      </c>
      <c r="D157" s="27" t="s">
        <v>185</v>
      </c>
      <c r="E157" s="28" t="s">
        <v>20</v>
      </c>
      <c r="F157" s="29"/>
      <c r="G157" s="30">
        <v>71.710000000000008</v>
      </c>
      <c r="H157" s="31">
        <v>90</v>
      </c>
      <c r="I157" s="29"/>
      <c r="J157" s="32">
        <v>0</v>
      </c>
      <c r="K157" s="32">
        <v>213</v>
      </c>
      <c r="L157" s="29"/>
      <c r="M157" s="33">
        <v>0</v>
      </c>
      <c r="N157" s="33">
        <v>195</v>
      </c>
      <c r="O157" s="29"/>
      <c r="P157" s="34">
        <f>(H157*0.5)+(K157*0.3)+(N157*0.2)</f>
        <v>147.9</v>
      </c>
    </row>
    <row r="158" spans="2:16" x14ac:dyDescent="0.2">
      <c r="B158" s="25">
        <v>154</v>
      </c>
      <c r="C158" s="41" t="s">
        <v>293</v>
      </c>
      <c r="D158" s="27" t="s">
        <v>292</v>
      </c>
      <c r="E158" s="28" t="s">
        <v>44</v>
      </c>
      <c r="F158" s="29"/>
      <c r="G158" s="30">
        <v>40.410000000000004</v>
      </c>
      <c r="H158" s="40">
        <v>187</v>
      </c>
      <c r="I158" s="29"/>
      <c r="J158" s="32">
        <v>115.82000000000001</v>
      </c>
      <c r="K158" s="32">
        <v>102</v>
      </c>
      <c r="L158" s="29"/>
      <c r="M158" s="33">
        <v>60.14</v>
      </c>
      <c r="N158" s="33">
        <v>122</v>
      </c>
      <c r="O158" s="29"/>
      <c r="P158" s="34">
        <f>(H158*0.5)+(K158*0.3)+(N158*0.2)</f>
        <v>148.5</v>
      </c>
    </row>
    <row r="159" spans="2:16" x14ac:dyDescent="0.2">
      <c r="B159" s="25">
        <v>155</v>
      </c>
      <c r="C159" s="41" t="s">
        <v>291</v>
      </c>
      <c r="D159" s="42" t="s">
        <v>290</v>
      </c>
      <c r="E159" s="28" t="s">
        <v>44</v>
      </c>
      <c r="F159" s="29"/>
      <c r="G159" s="30">
        <v>0</v>
      </c>
      <c r="H159" s="43">
        <v>218</v>
      </c>
      <c r="I159" s="29"/>
      <c r="J159" s="32">
        <v>133.32</v>
      </c>
      <c r="K159" s="32">
        <v>91</v>
      </c>
      <c r="L159" s="29"/>
      <c r="M159" s="33">
        <v>133.61000000000001</v>
      </c>
      <c r="N159" s="33">
        <v>62</v>
      </c>
      <c r="O159" s="29"/>
      <c r="P159" s="34">
        <f>(H159*0.5)+(K159*0.3)+(N159*0.2)</f>
        <v>148.70000000000002</v>
      </c>
    </row>
    <row r="160" spans="2:16" x14ac:dyDescent="0.2">
      <c r="B160" s="25">
        <v>156</v>
      </c>
      <c r="C160" s="41" t="s">
        <v>213</v>
      </c>
      <c r="D160" s="27" t="s">
        <v>212</v>
      </c>
      <c r="E160" s="28" t="s">
        <v>0</v>
      </c>
      <c r="F160" s="29"/>
      <c r="G160" s="30">
        <v>60.35</v>
      </c>
      <c r="H160" s="31">
        <v>118</v>
      </c>
      <c r="I160" s="29"/>
      <c r="J160" s="32">
        <v>41.760000000000012</v>
      </c>
      <c r="K160" s="32">
        <v>173</v>
      </c>
      <c r="L160" s="29"/>
      <c r="M160" s="33">
        <v>0</v>
      </c>
      <c r="N160" s="33">
        <v>195</v>
      </c>
      <c r="O160" s="29"/>
      <c r="P160" s="34">
        <f>(H160*0.5)+(K160*0.3)+(N160*0.2)</f>
        <v>149.9</v>
      </c>
    </row>
    <row r="161" spans="2:16" x14ac:dyDescent="0.2">
      <c r="B161" s="25">
        <v>157</v>
      </c>
      <c r="C161" s="41" t="s">
        <v>277</v>
      </c>
      <c r="D161" s="42" t="s">
        <v>276</v>
      </c>
      <c r="E161" s="28" t="s">
        <v>20</v>
      </c>
      <c r="F161" s="29"/>
      <c r="G161" s="30">
        <v>0</v>
      </c>
      <c r="H161" s="43">
        <v>218</v>
      </c>
      <c r="I161" s="29"/>
      <c r="J161" s="32">
        <v>129.19</v>
      </c>
      <c r="K161" s="32">
        <v>93</v>
      </c>
      <c r="L161" s="29"/>
      <c r="M161" s="33">
        <v>128.28</v>
      </c>
      <c r="N161" s="33">
        <v>68</v>
      </c>
      <c r="O161" s="29"/>
      <c r="P161" s="34">
        <f>(H161*0.5)+(K161*0.3)+(N161*0.2)</f>
        <v>150.5</v>
      </c>
    </row>
    <row r="162" spans="2:16" x14ac:dyDescent="0.2">
      <c r="B162" s="25">
        <v>158</v>
      </c>
      <c r="C162" s="41" t="s">
        <v>273</v>
      </c>
      <c r="D162" s="42" t="s">
        <v>272</v>
      </c>
      <c r="E162" s="28" t="s">
        <v>20</v>
      </c>
      <c r="F162" s="29"/>
      <c r="G162" s="30">
        <v>0</v>
      </c>
      <c r="H162" s="43">
        <v>218</v>
      </c>
      <c r="I162" s="29"/>
      <c r="J162" s="32">
        <v>141.56</v>
      </c>
      <c r="K162" s="32">
        <v>84</v>
      </c>
      <c r="L162" s="29"/>
      <c r="M162" s="33">
        <v>100.85000000000001</v>
      </c>
      <c r="N162" s="33">
        <v>88</v>
      </c>
      <c r="O162" s="29"/>
      <c r="P162" s="34">
        <f>(H162*0.5)+(K162*0.3)+(N162*0.2)</f>
        <v>151.79999999999998</v>
      </c>
    </row>
    <row r="163" spans="2:16" x14ac:dyDescent="0.2">
      <c r="B163" s="25">
        <v>159</v>
      </c>
      <c r="C163" s="41" t="s">
        <v>253</v>
      </c>
      <c r="D163" s="27" t="s">
        <v>252</v>
      </c>
      <c r="E163" s="28" t="s">
        <v>9</v>
      </c>
      <c r="F163" s="29"/>
      <c r="G163" s="30">
        <v>10.950000000000001</v>
      </c>
      <c r="H163" s="31">
        <v>202</v>
      </c>
      <c r="I163" s="29"/>
      <c r="J163" s="32">
        <v>96.910000000000025</v>
      </c>
      <c r="K163" s="32">
        <v>115</v>
      </c>
      <c r="L163" s="29"/>
      <c r="M163" s="33">
        <v>102.21000000000001</v>
      </c>
      <c r="N163" s="33">
        <v>87</v>
      </c>
      <c r="O163" s="29"/>
      <c r="P163" s="34">
        <f>(H163*0.5)+(K163*0.3)+(N163*0.2)</f>
        <v>152.9</v>
      </c>
    </row>
    <row r="164" spans="2:16" x14ac:dyDescent="0.2">
      <c r="B164" s="25">
        <v>160</v>
      </c>
      <c r="C164" s="41" t="s">
        <v>269</v>
      </c>
      <c r="D164" s="27" t="s">
        <v>268</v>
      </c>
      <c r="E164" s="28" t="s">
        <v>9</v>
      </c>
      <c r="F164" s="29"/>
      <c r="G164" s="30">
        <v>29.19</v>
      </c>
      <c r="H164" s="31">
        <v>199</v>
      </c>
      <c r="I164" s="29"/>
      <c r="J164" s="32">
        <v>118.07000000000001</v>
      </c>
      <c r="K164" s="32">
        <v>98</v>
      </c>
      <c r="L164" s="29"/>
      <c r="M164" s="33">
        <v>61.21</v>
      </c>
      <c r="N164" s="33">
        <v>120</v>
      </c>
      <c r="O164" s="29"/>
      <c r="P164" s="34">
        <f>(H164*0.5)+(K164*0.3)+(N164*0.2)</f>
        <v>152.9</v>
      </c>
    </row>
    <row r="165" spans="2:16" x14ac:dyDescent="0.2">
      <c r="B165" s="25">
        <v>161</v>
      </c>
      <c r="C165" s="41" t="s">
        <v>217</v>
      </c>
      <c r="D165" s="27" t="s">
        <v>216</v>
      </c>
      <c r="E165" s="28" t="s">
        <v>3</v>
      </c>
      <c r="F165" s="29"/>
      <c r="G165" s="30">
        <v>30.110000000000007</v>
      </c>
      <c r="H165" s="31">
        <v>159</v>
      </c>
      <c r="I165" s="29"/>
      <c r="J165" s="32">
        <v>95.87</v>
      </c>
      <c r="K165" s="32">
        <v>116</v>
      </c>
      <c r="L165" s="29"/>
      <c r="M165" s="33">
        <v>0</v>
      </c>
      <c r="N165" s="33">
        <v>195</v>
      </c>
      <c r="O165" s="29"/>
      <c r="P165" s="34">
        <f>(H165*0.5)+(K165*0.3)+(N165*0.2)</f>
        <v>153.30000000000001</v>
      </c>
    </row>
    <row r="166" spans="2:16" x14ac:dyDescent="0.2">
      <c r="B166" s="25">
        <v>162</v>
      </c>
      <c r="C166" s="41" t="s">
        <v>160</v>
      </c>
      <c r="D166" s="27" t="s">
        <v>159</v>
      </c>
      <c r="E166" s="28" t="s">
        <v>3</v>
      </c>
      <c r="F166" s="29"/>
      <c r="G166" s="30">
        <v>55.68</v>
      </c>
      <c r="H166" s="31">
        <v>101</v>
      </c>
      <c r="I166" s="29"/>
      <c r="J166" s="32">
        <v>0</v>
      </c>
      <c r="K166" s="32">
        <v>213</v>
      </c>
      <c r="L166" s="29"/>
      <c r="M166" s="33">
        <v>0</v>
      </c>
      <c r="N166" s="33">
        <v>195</v>
      </c>
      <c r="O166" s="29"/>
      <c r="P166" s="34">
        <f>(H166*0.5)+(K166*0.3)+(N166*0.2)</f>
        <v>153.4</v>
      </c>
    </row>
    <row r="167" spans="2:16" x14ac:dyDescent="0.2">
      <c r="B167" s="25">
        <v>163</v>
      </c>
      <c r="C167" s="41" t="s">
        <v>263</v>
      </c>
      <c r="D167" s="42" t="s">
        <v>262</v>
      </c>
      <c r="E167" s="28" t="s">
        <v>9</v>
      </c>
      <c r="F167" s="29"/>
      <c r="G167" s="30">
        <v>0</v>
      </c>
      <c r="H167" s="43">
        <v>218</v>
      </c>
      <c r="I167" s="29"/>
      <c r="J167" s="32">
        <v>100.22</v>
      </c>
      <c r="K167" s="32">
        <v>112</v>
      </c>
      <c r="L167" s="29"/>
      <c r="M167" s="33">
        <v>151.95000000000002</v>
      </c>
      <c r="N167" s="33">
        <v>56</v>
      </c>
      <c r="O167" s="29"/>
      <c r="P167" s="34">
        <f>(H167*0.5)+(K167*0.3)+(N167*0.2)</f>
        <v>153.79999999999998</v>
      </c>
    </row>
    <row r="168" spans="2:16" x14ac:dyDescent="0.2">
      <c r="B168" s="25">
        <v>164</v>
      </c>
      <c r="C168" s="41" t="s">
        <v>275</v>
      </c>
      <c r="D168" s="42" t="s">
        <v>274</v>
      </c>
      <c r="E168" s="28" t="s">
        <v>3</v>
      </c>
      <c r="F168" s="29"/>
      <c r="G168" s="30">
        <v>0</v>
      </c>
      <c r="H168" s="43">
        <v>218</v>
      </c>
      <c r="I168" s="29"/>
      <c r="J168" s="32">
        <v>90.25</v>
      </c>
      <c r="K168" s="32">
        <v>120</v>
      </c>
      <c r="L168" s="29"/>
      <c r="M168" s="33">
        <v>180.38</v>
      </c>
      <c r="N168" s="33">
        <v>44</v>
      </c>
      <c r="O168" s="29"/>
      <c r="P168" s="34">
        <f>(H168*0.5)+(K168*0.3)+(N168*0.2)</f>
        <v>153.80000000000001</v>
      </c>
    </row>
    <row r="169" spans="2:16" x14ac:dyDescent="0.2">
      <c r="B169" s="25">
        <v>165</v>
      </c>
      <c r="C169" s="41" t="s">
        <v>229</v>
      </c>
      <c r="D169" s="27" t="s">
        <v>228</v>
      </c>
      <c r="E169" s="28" t="s">
        <v>6</v>
      </c>
      <c r="F169" s="29"/>
      <c r="G169" s="30">
        <v>95.12</v>
      </c>
      <c r="H169" s="31">
        <v>103</v>
      </c>
      <c r="I169" s="29"/>
      <c r="J169" s="32">
        <v>0</v>
      </c>
      <c r="K169" s="32">
        <v>213</v>
      </c>
      <c r="L169" s="29"/>
      <c r="M169" s="33">
        <v>0</v>
      </c>
      <c r="N169" s="33">
        <v>195</v>
      </c>
      <c r="O169" s="29"/>
      <c r="P169" s="34">
        <f>(H169*0.5)+(K169*0.3)+(N169*0.2)</f>
        <v>154.4</v>
      </c>
    </row>
    <row r="170" spans="2:16" x14ac:dyDescent="0.2">
      <c r="B170" s="25">
        <v>166</v>
      </c>
      <c r="C170" s="41" t="s">
        <v>182</v>
      </c>
      <c r="D170" s="27" t="s">
        <v>181</v>
      </c>
      <c r="E170" s="28" t="s">
        <v>6</v>
      </c>
      <c r="F170" s="29"/>
      <c r="G170" s="30">
        <v>66.66</v>
      </c>
      <c r="H170" s="31">
        <v>104</v>
      </c>
      <c r="I170" s="29"/>
      <c r="J170" s="32">
        <v>0</v>
      </c>
      <c r="K170" s="32">
        <v>213</v>
      </c>
      <c r="L170" s="29"/>
      <c r="M170" s="33">
        <v>0</v>
      </c>
      <c r="N170" s="33">
        <v>195</v>
      </c>
      <c r="O170" s="29"/>
      <c r="P170" s="34">
        <f>(H170*0.5)+(K170*0.3)+(N170*0.2)</f>
        <v>154.9</v>
      </c>
    </row>
    <row r="171" spans="2:16" x14ac:dyDescent="0.2">
      <c r="B171" s="25">
        <v>167</v>
      </c>
      <c r="C171" s="41" t="s">
        <v>245</v>
      </c>
      <c r="D171" s="27" t="s">
        <v>244</v>
      </c>
      <c r="E171" s="28" t="s">
        <v>6</v>
      </c>
      <c r="F171" s="29"/>
      <c r="G171" s="30">
        <v>105.64</v>
      </c>
      <c r="H171" s="31">
        <v>105</v>
      </c>
      <c r="I171" s="29"/>
      <c r="J171" s="32">
        <v>0</v>
      </c>
      <c r="K171" s="32">
        <v>213</v>
      </c>
      <c r="L171" s="29"/>
      <c r="M171" s="33">
        <v>0</v>
      </c>
      <c r="N171" s="33">
        <v>195</v>
      </c>
      <c r="O171" s="29"/>
      <c r="P171" s="34">
        <f>(H171*0.5)+(K171*0.3)+(N171*0.2)</f>
        <v>155.4</v>
      </c>
    </row>
    <row r="172" spans="2:16" x14ac:dyDescent="0.2">
      <c r="B172" s="25">
        <v>168</v>
      </c>
      <c r="C172" s="41" t="s">
        <v>231</v>
      </c>
      <c r="D172" s="27" t="s">
        <v>230</v>
      </c>
      <c r="E172" s="28" t="s">
        <v>29</v>
      </c>
      <c r="F172" s="29"/>
      <c r="G172" s="30">
        <v>43.07</v>
      </c>
      <c r="H172" s="31">
        <v>167</v>
      </c>
      <c r="I172" s="29"/>
      <c r="J172" s="32">
        <v>44.29</v>
      </c>
      <c r="K172" s="32">
        <v>166</v>
      </c>
      <c r="L172" s="29"/>
      <c r="M172" s="33">
        <v>67.14</v>
      </c>
      <c r="N172" s="33">
        <v>114</v>
      </c>
      <c r="O172" s="29"/>
      <c r="P172" s="34">
        <f>(H172*0.5)+(K172*0.3)+(N172*0.2)</f>
        <v>156.10000000000002</v>
      </c>
    </row>
    <row r="173" spans="2:16" x14ac:dyDescent="0.2">
      <c r="B173" s="25">
        <v>169</v>
      </c>
      <c r="C173" s="41" t="s">
        <v>178</v>
      </c>
      <c r="D173" s="27" t="s">
        <v>177</v>
      </c>
      <c r="E173" s="28" t="s">
        <v>20</v>
      </c>
      <c r="F173" s="29"/>
      <c r="G173" s="30">
        <v>47.300000000000004</v>
      </c>
      <c r="H173" s="31">
        <v>121</v>
      </c>
      <c r="I173" s="29"/>
      <c r="J173" s="32">
        <v>27.330000000000002</v>
      </c>
      <c r="K173" s="32">
        <v>192</v>
      </c>
      <c r="L173" s="29"/>
      <c r="M173" s="33">
        <v>0</v>
      </c>
      <c r="N173" s="33">
        <v>195</v>
      </c>
      <c r="O173" s="29"/>
      <c r="P173" s="34">
        <f>(H173*0.5)+(K173*0.3)+(N173*0.2)</f>
        <v>157.1</v>
      </c>
    </row>
    <row r="174" spans="2:16" x14ac:dyDescent="0.2">
      <c r="B174" s="25">
        <v>170</v>
      </c>
      <c r="C174" s="41" t="s">
        <v>241</v>
      </c>
      <c r="D174" s="27" t="s">
        <v>240</v>
      </c>
      <c r="E174" s="28" t="s">
        <v>3</v>
      </c>
      <c r="F174" s="29"/>
      <c r="G174" s="30">
        <v>20.240000000000002</v>
      </c>
      <c r="H174" s="31">
        <v>193</v>
      </c>
      <c r="I174" s="29"/>
      <c r="J174" s="32">
        <v>111.62</v>
      </c>
      <c r="K174" s="32">
        <v>103</v>
      </c>
      <c r="L174" s="29"/>
      <c r="M174" s="33">
        <v>42.760000000000012</v>
      </c>
      <c r="N174" s="33">
        <v>149</v>
      </c>
      <c r="O174" s="29"/>
      <c r="P174" s="34">
        <f>(H174*0.5)+(K174*0.3)+(N174*0.2)</f>
        <v>157.20000000000002</v>
      </c>
    </row>
    <row r="175" spans="2:16" x14ac:dyDescent="0.2">
      <c r="B175" s="25">
        <v>171</v>
      </c>
      <c r="C175" s="41" t="s">
        <v>203</v>
      </c>
      <c r="D175" s="27" t="s">
        <v>202</v>
      </c>
      <c r="E175" s="28" t="s">
        <v>3</v>
      </c>
      <c r="F175" s="29"/>
      <c r="G175" s="30">
        <v>16.43</v>
      </c>
      <c r="H175" s="31">
        <v>181</v>
      </c>
      <c r="I175" s="29"/>
      <c r="J175" s="32">
        <v>71.150000000000006</v>
      </c>
      <c r="K175" s="32">
        <v>139</v>
      </c>
      <c r="L175" s="29"/>
      <c r="M175" s="33">
        <v>53.620000000000005</v>
      </c>
      <c r="N175" s="33">
        <v>132</v>
      </c>
      <c r="O175" s="29"/>
      <c r="P175" s="34">
        <f>(H175*0.5)+(K175*0.3)+(N175*0.2)</f>
        <v>158.6</v>
      </c>
    </row>
    <row r="176" spans="2:16" x14ac:dyDescent="0.2">
      <c r="B176" s="25">
        <v>172</v>
      </c>
      <c r="C176" s="41" t="s">
        <v>180</v>
      </c>
      <c r="D176" s="27" t="s">
        <v>179</v>
      </c>
      <c r="E176" s="28" t="s">
        <v>6</v>
      </c>
      <c r="F176" s="29"/>
      <c r="G176" s="30">
        <v>34.78</v>
      </c>
      <c r="H176" s="31">
        <v>146</v>
      </c>
      <c r="I176" s="29"/>
      <c r="J176" s="32">
        <v>37.340000000000003</v>
      </c>
      <c r="K176" s="32">
        <v>176</v>
      </c>
      <c r="L176" s="29"/>
      <c r="M176" s="33">
        <v>19.900000000000002</v>
      </c>
      <c r="N176" s="33">
        <v>177</v>
      </c>
      <c r="O176" s="29"/>
      <c r="P176" s="34">
        <f>(H176*0.5)+(K176*0.3)+(N176*0.2)</f>
        <v>161.19999999999999</v>
      </c>
    </row>
    <row r="177" spans="2:16" x14ac:dyDescent="0.2">
      <c r="B177" s="25">
        <v>173</v>
      </c>
      <c r="C177" s="41" t="s">
        <v>215</v>
      </c>
      <c r="D177" s="27" t="s">
        <v>214</v>
      </c>
      <c r="E177" s="28" t="s">
        <v>9</v>
      </c>
      <c r="F177" s="29"/>
      <c r="G177" s="30">
        <v>25.360000000000007</v>
      </c>
      <c r="H177" s="31">
        <v>178</v>
      </c>
      <c r="I177" s="29"/>
      <c r="J177" s="32">
        <v>93.770000000000024</v>
      </c>
      <c r="K177" s="32">
        <v>118</v>
      </c>
      <c r="L177" s="29"/>
      <c r="M177" s="33">
        <v>11.26</v>
      </c>
      <c r="N177" s="33">
        <v>186</v>
      </c>
      <c r="O177" s="29"/>
      <c r="P177" s="34">
        <f>(H177*0.5)+(K177*0.3)+(N177*0.2)</f>
        <v>161.60000000000002</v>
      </c>
    </row>
    <row r="178" spans="2:16" x14ac:dyDescent="0.2">
      <c r="B178" s="25">
        <v>174</v>
      </c>
      <c r="C178" s="41" t="s">
        <v>201</v>
      </c>
      <c r="D178" s="27" t="s">
        <v>200</v>
      </c>
      <c r="E178" s="28" t="s">
        <v>0</v>
      </c>
      <c r="F178" s="29"/>
      <c r="G178" s="30">
        <v>59.84</v>
      </c>
      <c r="H178" s="31">
        <v>136</v>
      </c>
      <c r="I178" s="29"/>
      <c r="J178" s="32">
        <v>33.81</v>
      </c>
      <c r="K178" s="32">
        <v>183</v>
      </c>
      <c r="L178" s="29"/>
      <c r="M178" s="33">
        <v>0</v>
      </c>
      <c r="N178" s="33">
        <v>195</v>
      </c>
      <c r="O178" s="29"/>
      <c r="P178" s="34">
        <f>(H178*0.5)+(K178*0.3)+(N178*0.2)</f>
        <v>161.9</v>
      </c>
    </row>
    <row r="179" spans="2:16" x14ac:dyDescent="0.2">
      <c r="B179" s="25">
        <v>175</v>
      </c>
      <c r="C179" s="41" t="s">
        <v>193</v>
      </c>
      <c r="D179" s="27" t="s">
        <v>161</v>
      </c>
      <c r="E179" s="28" t="s">
        <v>0</v>
      </c>
      <c r="F179" s="29"/>
      <c r="G179" s="30">
        <v>10.59</v>
      </c>
      <c r="H179" s="31">
        <v>194</v>
      </c>
      <c r="I179" s="29"/>
      <c r="J179" s="32">
        <v>58.14</v>
      </c>
      <c r="K179" s="32">
        <v>148</v>
      </c>
      <c r="L179" s="29"/>
      <c r="M179" s="33">
        <v>74.62</v>
      </c>
      <c r="N179" s="33">
        <v>110</v>
      </c>
      <c r="O179" s="29"/>
      <c r="P179" s="34">
        <f>(H179*0.5)+(K179*0.3)+(N179*0.2)</f>
        <v>163.4</v>
      </c>
    </row>
    <row r="180" spans="2:16" x14ac:dyDescent="0.2">
      <c r="B180" s="25">
        <v>176</v>
      </c>
      <c r="C180" s="41" t="s">
        <v>170</v>
      </c>
      <c r="D180" s="27" t="s">
        <v>169</v>
      </c>
      <c r="E180" s="28" t="s">
        <v>3</v>
      </c>
      <c r="F180" s="29"/>
      <c r="G180" s="30">
        <v>62.11</v>
      </c>
      <c r="H180" s="31">
        <v>122</v>
      </c>
      <c r="I180" s="29"/>
      <c r="J180" s="32">
        <v>0</v>
      </c>
      <c r="K180" s="32">
        <v>213</v>
      </c>
      <c r="L180" s="29"/>
      <c r="M180" s="33">
        <v>0</v>
      </c>
      <c r="N180" s="33">
        <v>195</v>
      </c>
      <c r="O180" s="29"/>
      <c r="P180" s="34">
        <f>(H180*0.5)+(K180*0.3)+(N180*0.2)</f>
        <v>163.9</v>
      </c>
    </row>
    <row r="181" spans="2:16" x14ac:dyDescent="0.2">
      <c r="B181" s="25">
        <v>177</v>
      </c>
      <c r="C181" s="41" t="s">
        <v>207</v>
      </c>
      <c r="D181" s="27" t="s">
        <v>206</v>
      </c>
      <c r="E181" s="28" t="s">
        <v>9</v>
      </c>
      <c r="F181" s="29"/>
      <c r="G181" s="30">
        <v>39.32</v>
      </c>
      <c r="H181" s="31">
        <v>168</v>
      </c>
      <c r="I181" s="29"/>
      <c r="J181" s="32">
        <v>69.17</v>
      </c>
      <c r="K181" s="32">
        <v>141</v>
      </c>
      <c r="L181" s="29"/>
      <c r="M181" s="33">
        <v>0</v>
      </c>
      <c r="N181" s="33">
        <v>195</v>
      </c>
      <c r="O181" s="29"/>
      <c r="P181" s="34">
        <f>(H181*0.5)+(K181*0.3)+(N181*0.2)</f>
        <v>165.3</v>
      </c>
    </row>
    <row r="182" spans="2:16" x14ac:dyDescent="0.2">
      <c r="B182" s="25">
        <v>178</v>
      </c>
      <c r="C182" s="41" t="s">
        <v>219</v>
      </c>
      <c r="D182" s="42" t="s">
        <v>218</v>
      </c>
      <c r="E182" s="28" t="s">
        <v>3</v>
      </c>
      <c r="F182" s="29"/>
      <c r="G182" s="30">
        <v>0</v>
      </c>
      <c r="H182" s="43">
        <v>218</v>
      </c>
      <c r="I182" s="29"/>
      <c r="J182" s="32">
        <v>89.81</v>
      </c>
      <c r="K182" s="32">
        <v>123</v>
      </c>
      <c r="L182" s="29"/>
      <c r="M182" s="33">
        <v>92.550000000000026</v>
      </c>
      <c r="N182" s="33">
        <v>98</v>
      </c>
      <c r="O182" s="29"/>
      <c r="P182" s="34">
        <f>(H182*0.5)+(K182*0.3)+(N182*0.2)</f>
        <v>165.5</v>
      </c>
    </row>
    <row r="183" spans="2:16" x14ac:dyDescent="0.2">
      <c r="B183" s="25">
        <v>179</v>
      </c>
      <c r="C183" s="41" t="s">
        <v>235</v>
      </c>
      <c r="D183" s="42" t="s">
        <v>234</v>
      </c>
      <c r="E183" s="28" t="s">
        <v>20</v>
      </c>
      <c r="F183" s="29"/>
      <c r="G183" s="30">
        <v>0</v>
      </c>
      <c r="H183" s="43">
        <v>218</v>
      </c>
      <c r="I183" s="29"/>
      <c r="J183" s="32">
        <v>49.64</v>
      </c>
      <c r="K183" s="32">
        <v>160</v>
      </c>
      <c r="L183" s="29"/>
      <c r="M183" s="33">
        <v>177.05</v>
      </c>
      <c r="N183" s="33">
        <v>47</v>
      </c>
      <c r="O183" s="29"/>
      <c r="P183" s="34">
        <f>(H183*0.5)+(K183*0.3)+(N183*0.2)</f>
        <v>166.4</v>
      </c>
    </row>
    <row r="184" spans="2:16" x14ac:dyDescent="0.2">
      <c r="B184" s="25">
        <v>180</v>
      </c>
      <c r="C184" s="41" t="s">
        <v>152</v>
      </c>
      <c r="D184" s="27" t="s">
        <v>151</v>
      </c>
      <c r="E184" s="28" t="s">
        <v>20</v>
      </c>
      <c r="F184" s="29"/>
      <c r="G184" s="30">
        <v>48.25</v>
      </c>
      <c r="H184" s="31">
        <v>127</v>
      </c>
      <c r="I184" s="29"/>
      <c r="J184" s="32">
        <v>0</v>
      </c>
      <c r="K184" s="32">
        <v>213</v>
      </c>
      <c r="L184" s="29"/>
      <c r="M184" s="33">
        <v>0</v>
      </c>
      <c r="N184" s="33">
        <v>195</v>
      </c>
      <c r="O184" s="29"/>
      <c r="P184" s="34">
        <f>(H184*0.5)+(K184*0.3)+(N184*0.2)</f>
        <v>166.4</v>
      </c>
    </row>
    <row r="185" spans="2:16" x14ac:dyDescent="0.2">
      <c r="B185" s="25">
        <v>181</v>
      </c>
      <c r="C185" s="41" t="s">
        <v>225</v>
      </c>
      <c r="D185" s="27" t="s">
        <v>224</v>
      </c>
      <c r="E185" s="28" t="s">
        <v>29</v>
      </c>
      <c r="F185" s="29"/>
      <c r="G185" s="30">
        <v>8.23</v>
      </c>
      <c r="H185" s="31">
        <v>217</v>
      </c>
      <c r="I185" s="29"/>
      <c r="J185" s="32">
        <v>88.76</v>
      </c>
      <c r="K185" s="32">
        <v>124</v>
      </c>
      <c r="L185" s="29"/>
      <c r="M185" s="33">
        <v>79.58</v>
      </c>
      <c r="N185" s="33">
        <v>104</v>
      </c>
      <c r="O185" s="29"/>
      <c r="P185" s="34">
        <f>(H185*0.5)+(K185*0.3)+(N185*0.2)</f>
        <v>166.5</v>
      </c>
    </row>
    <row r="186" spans="2:16" x14ac:dyDescent="0.2">
      <c r="B186" s="25">
        <v>182</v>
      </c>
      <c r="C186" s="41" t="s">
        <v>176</v>
      </c>
      <c r="D186" s="27" t="s">
        <v>175</v>
      </c>
      <c r="E186" s="28" t="s">
        <v>29</v>
      </c>
      <c r="F186" s="29"/>
      <c r="G186" s="30">
        <v>32.86</v>
      </c>
      <c r="H186" s="31">
        <v>158</v>
      </c>
      <c r="I186" s="29"/>
      <c r="J186" s="32">
        <v>42.830000000000013</v>
      </c>
      <c r="K186" s="32">
        <v>171</v>
      </c>
      <c r="L186" s="29"/>
      <c r="M186" s="33">
        <v>12.42</v>
      </c>
      <c r="N186" s="33">
        <v>185</v>
      </c>
      <c r="O186" s="29"/>
      <c r="P186" s="34">
        <f>(H186*0.5)+(K186*0.3)+(N186*0.2)</f>
        <v>167.3</v>
      </c>
    </row>
    <row r="187" spans="2:16" x14ac:dyDescent="0.2">
      <c r="B187" s="25">
        <v>183</v>
      </c>
      <c r="C187" s="41" t="s">
        <v>164</v>
      </c>
      <c r="D187" s="27" t="s">
        <v>163</v>
      </c>
      <c r="E187" s="28" t="s">
        <v>0</v>
      </c>
      <c r="F187" s="29"/>
      <c r="G187" s="30">
        <v>25.8</v>
      </c>
      <c r="H187" s="31">
        <v>166</v>
      </c>
      <c r="I187" s="29"/>
      <c r="J187" s="32">
        <v>56.25</v>
      </c>
      <c r="K187" s="32">
        <v>152</v>
      </c>
      <c r="L187" s="29"/>
      <c r="M187" s="33">
        <v>2.0900000000000003</v>
      </c>
      <c r="N187" s="33">
        <v>194</v>
      </c>
      <c r="O187" s="29"/>
      <c r="P187" s="34">
        <f>(H187*0.5)+(K187*0.3)+(N187*0.2)</f>
        <v>167.4</v>
      </c>
    </row>
    <row r="188" spans="2:16" x14ac:dyDescent="0.2">
      <c r="B188" s="25">
        <v>184</v>
      </c>
      <c r="C188" s="41" t="s">
        <v>233</v>
      </c>
      <c r="D188" s="27" t="s">
        <v>232</v>
      </c>
      <c r="E188" s="28" t="s">
        <v>3</v>
      </c>
      <c r="F188" s="29"/>
      <c r="G188" s="30">
        <v>28.360000000000007</v>
      </c>
      <c r="H188" s="31">
        <v>200</v>
      </c>
      <c r="I188" s="29"/>
      <c r="J188" s="32">
        <v>118.13000000000002</v>
      </c>
      <c r="K188" s="32">
        <v>97</v>
      </c>
      <c r="L188" s="29"/>
      <c r="M188" s="33">
        <v>0</v>
      </c>
      <c r="N188" s="33">
        <v>195</v>
      </c>
      <c r="O188" s="29"/>
      <c r="P188" s="34">
        <f>(H188*0.5)+(K188*0.3)+(N188*0.2)</f>
        <v>168.1</v>
      </c>
    </row>
    <row r="189" spans="2:16" x14ac:dyDescent="0.2">
      <c r="B189" s="25">
        <v>185</v>
      </c>
      <c r="C189" s="41" t="s">
        <v>112</v>
      </c>
      <c r="D189" s="27" t="s">
        <v>111</v>
      </c>
      <c r="E189" s="28" t="s">
        <v>3</v>
      </c>
      <c r="F189" s="29"/>
      <c r="G189" s="30">
        <v>30.93</v>
      </c>
      <c r="H189" s="31">
        <v>131</v>
      </c>
      <c r="I189" s="29"/>
      <c r="J189" s="32">
        <v>0</v>
      </c>
      <c r="K189" s="32">
        <v>213</v>
      </c>
      <c r="L189" s="29"/>
      <c r="M189" s="33">
        <v>0</v>
      </c>
      <c r="N189" s="33">
        <v>195</v>
      </c>
      <c r="O189" s="29"/>
      <c r="P189" s="34">
        <f>(H189*0.5)+(K189*0.3)+(N189*0.2)</f>
        <v>168.4</v>
      </c>
    </row>
    <row r="190" spans="2:16" x14ac:dyDescent="0.2">
      <c r="B190" s="25">
        <v>186</v>
      </c>
      <c r="C190" s="41" t="s">
        <v>168</v>
      </c>
      <c r="D190" s="27" t="s">
        <v>167</v>
      </c>
      <c r="E190" s="28" t="s">
        <v>3</v>
      </c>
      <c r="F190" s="29"/>
      <c r="G190" s="30">
        <v>19.91</v>
      </c>
      <c r="H190" s="31">
        <v>176</v>
      </c>
      <c r="I190" s="29"/>
      <c r="J190" s="32">
        <v>50.760000000000012</v>
      </c>
      <c r="K190" s="32">
        <v>158</v>
      </c>
      <c r="L190" s="29"/>
      <c r="M190" s="33">
        <v>28.85</v>
      </c>
      <c r="N190" s="33">
        <v>167</v>
      </c>
      <c r="O190" s="29"/>
      <c r="P190" s="34">
        <f>(H190*0.5)+(K190*0.3)+(N190*0.2)</f>
        <v>168.8</v>
      </c>
    </row>
    <row r="191" spans="2:16" x14ac:dyDescent="0.2">
      <c r="B191" s="25">
        <v>187</v>
      </c>
      <c r="C191" s="41" t="s">
        <v>209</v>
      </c>
      <c r="D191" s="42" t="s">
        <v>208</v>
      </c>
      <c r="E191" s="28" t="s">
        <v>6</v>
      </c>
      <c r="F191" s="29"/>
      <c r="G191" s="30">
        <v>0</v>
      </c>
      <c r="H191" s="43">
        <v>218</v>
      </c>
      <c r="I191" s="29"/>
      <c r="J191" s="32">
        <v>104.12</v>
      </c>
      <c r="K191" s="32">
        <v>108</v>
      </c>
      <c r="L191" s="29"/>
      <c r="M191" s="33">
        <v>50.440000000000012</v>
      </c>
      <c r="N191" s="33">
        <v>138</v>
      </c>
      <c r="O191" s="29"/>
      <c r="P191" s="34">
        <f>(H191*0.5)+(K191*0.3)+(N191*0.2)</f>
        <v>169</v>
      </c>
    </row>
    <row r="192" spans="2:16" x14ac:dyDescent="0.2">
      <c r="B192" s="25">
        <v>188</v>
      </c>
      <c r="C192" s="41" t="s">
        <v>197</v>
      </c>
      <c r="D192" s="42" t="s">
        <v>196</v>
      </c>
      <c r="E192" s="28" t="s">
        <v>44</v>
      </c>
      <c r="F192" s="29"/>
      <c r="G192" s="30">
        <v>0</v>
      </c>
      <c r="H192" s="43">
        <v>218</v>
      </c>
      <c r="I192" s="29"/>
      <c r="J192" s="32">
        <v>76.33</v>
      </c>
      <c r="K192" s="32">
        <v>134</v>
      </c>
      <c r="L192" s="29"/>
      <c r="M192" s="33">
        <v>80.3</v>
      </c>
      <c r="N192" s="33">
        <v>103</v>
      </c>
      <c r="O192" s="29"/>
      <c r="P192" s="34">
        <f>(H192*0.5)+(K192*0.3)+(N192*0.2)</f>
        <v>169.79999999999998</v>
      </c>
    </row>
    <row r="193" spans="2:16" x14ac:dyDescent="0.2">
      <c r="B193" s="25">
        <v>189</v>
      </c>
      <c r="C193" s="41" t="s">
        <v>221</v>
      </c>
      <c r="D193" s="27" t="s">
        <v>220</v>
      </c>
      <c r="E193" s="28" t="s">
        <v>6</v>
      </c>
      <c r="F193" s="29"/>
      <c r="G193" s="30">
        <v>31.200000000000006</v>
      </c>
      <c r="H193" s="31">
        <v>197</v>
      </c>
      <c r="I193" s="29"/>
      <c r="J193" s="32">
        <v>68.350000000000009</v>
      </c>
      <c r="K193" s="32">
        <v>142</v>
      </c>
      <c r="L193" s="29"/>
      <c r="M193" s="33">
        <v>46.99</v>
      </c>
      <c r="N193" s="33">
        <v>144</v>
      </c>
      <c r="O193" s="29"/>
      <c r="P193" s="34">
        <f>(H193*0.5)+(K193*0.3)+(N193*0.2)</f>
        <v>169.9</v>
      </c>
    </row>
    <row r="194" spans="2:16" x14ac:dyDescent="0.2">
      <c r="B194" s="25">
        <v>190</v>
      </c>
      <c r="C194" s="41" t="s">
        <v>205</v>
      </c>
      <c r="D194" s="27" t="s">
        <v>204</v>
      </c>
      <c r="E194" s="28" t="s">
        <v>3</v>
      </c>
      <c r="F194" s="29"/>
      <c r="G194" s="30">
        <v>29.900000000000002</v>
      </c>
      <c r="H194" s="31">
        <v>189</v>
      </c>
      <c r="I194" s="29"/>
      <c r="J194" s="32">
        <v>34.700000000000003</v>
      </c>
      <c r="K194" s="32">
        <v>179</v>
      </c>
      <c r="L194" s="29"/>
      <c r="M194" s="33">
        <v>74.78</v>
      </c>
      <c r="N194" s="33">
        <v>109</v>
      </c>
      <c r="O194" s="29"/>
      <c r="P194" s="34">
        <f>(H194*0.5)+(K194*0.3)+(N194*0.2)</f>
        <v>170</v>
      </c>
    </row>
    <row r="195" spans="2:16" x14ac:dyDescent="0.2">
      <c r="B195" s="25">
        <v>191</v>
      </c>
      <c r="C195" s="41" t="s">
        <v>162</v>
      </c>
      <c r="D195" s="27" t="s">
        <v>161</v>
      </c>
      <c r="E195" s="28" t="s">
        <v>9</v>
      </c>
      <c r="F195" s="29"/>
      <c r="G195" s="30">
        <v>25.790000000000006</v>
      </c>
      <c r="H195" s="31">
        <v>169</v>
      </c>
      <c r="I195" s="29"/>
      <c r="J195" s="32">
        <v>54.42</v>
      </c>
      <c r="K195" s="32">
        <v>155</v>
      </c>
      <c r="L195" s="29"/>
      <c r="M195" s="33">
        <v>0</v>
      </c>
      <c r="N195" s="33">
        <v>195</v>
      </c>
      <c r="O195" s="29"/>
      <c r="P195" s="34">
        <f>(H195*0.5)+(K195*0.3)+(N195*0.2)</f>
        <v>170</v>
      </c>
    </row>
    <row r="196" spans="2:16" x14ac:dyDescent="0.2">
      <c r="B196" s="25">
        <v>192</v>
      </c>
      <c r="C196" s="41" t="s">
        <v>195</v>
      </c>
      <c r="D196" s="27" t="s">
        <v>194</v>
      </c>
      <c r="E196" s="28" t="s">
        <v>9</v>
      </c>
      <c r="F196" s="29"/>
      <c r="G196" s="30">
        <v>13.440000000000003</v>
      </c>
      <c r="H196" s="31">
        <v>206</v>
      </c>
      <c r="I196" s="29"/>
      <c r="J196" s="32">
        <v>67.960000000000008</v>
      </c>
      <c r="K196" s="32">
        <v>143</v>
      </c>
      <c r="L196" s="29"/>
      <c r="M196" s="33">
        <v>55.45</v>
      </c>
      <c r="N196" s="33">
        <v>130</v>
      </c>
      <c r="O196" s="29"/>
      <c r="P196" s="34">
        <f>(H196*0.5)+(K196*0.3)+(N196*0.2)</f>
        <v>171.9</v>
      </c>
    </row>
    <row r="197" spans="2:16" x14ac:dyDescent="0.2">
      <c r="B197" s="25">
        <v>193</v>
      </c>
      <c r="C197" s="41" t="s">
        <v>174</v>
      </c>
      <c r="D197" s="27" t="s">
        <v>173</v>
      </c>
      <c r="E197" s="28" t="s">
        <v>3</v>
      </c>
      <c r="F197" s="29"/>
      <c r="G197" s="30">
        <v>47.89</v>
      </c>
      <c r="H197" s="31">
        <v>151</v>
      </c>
      <c r="I197" s="29"/>
      <c r="J197" s="32">
        <v>25.77</v>
      </c>
      <c r="K197" s="32">
        <v>194</v>
      </c>
      <c r="L197" s="29"/>
      <c r="M197" s="33">
        <v>0</v>
      </c>
      <c r="N197" s="33">
        <v>195</v>
      </c>
      <c r="O197" s="29"/>
      <c r="P197" s="34">
        <f>(H197*0.5)+(K197*0.3)+(N197*0.2)</f>
        <v>172.7</v>
      </c>
    </row>
    <row r="198" spans="2:16" x14ac:dyDescent="0.2">
      <c r="B198" s="25">
        <v>194</v>
      </c>
      <c r="C198" s="41" t="s">
        <v>199</v>
      </c>
      <c r="D198" s="27" t="s">
        <v>198</v>
      </c>
      <c r="E198" s="28" t="s">
        <v>29</v>
      </c>
      <c r="F198" s="29"/>
      <c r="G198" s="30">
        <v>43.13</v>
      </c>
      <c r="H198" s="31">
        <v>175</v>
      </c>
      <c r="I198" s="29"/>
      <c r="J198" s="32">
        <v>40.42</v>
      </c>
      <c r="K198" s="32">
        <v>175</v>
      </c>
      <c r="L198" s="29"/>
      <c r="M198" s="33">
        <v>30.71</v>
      </c>
      <c r="N198" s="33">
        <v>164</v>
      </c>
      <c r="O198" s="29"/>
      <c r="P198" s="34">
        <f>(H198*0.5)+(K198*0.3)+(N198*0.2)</f>
        <v>172.8</v>
      </c>
    </row>
    <row r="199" spans="2:16" x14ac:dyDescent="0.2">
      <c r="B199" s="25">
        <v>195</v>
      </c>
      <c r="C199" s="41" t="s">
        <v>104</v>
      </c>
      <c r="D199" s="27" t="s">
        <v>103</v>
      </c>
      <c r="E199" s="28" t="s">
        <v>0</v>
      </c>
      <c r="F199" s="29"/>
      <c r="G199" s="30">
        <v>29.1</v>
      </c>
      <c r="H199" s="31">
        <v>140</v>
      </c>
      <c r="I199" s="29"/>
      <c r="J199" s="32">
        <v>0</v>
      </c>
      <c r="K199" s="32">
        <v>213</v>
      </c>
      <c r="L199" s="29"/>
      <c r="M199" s="33">
        <v>0</v>
      </c>
      <c r="N199" s="33">
        <v>195</v>
      </c>
      <c r="O199" s="29"/>
      <c r="P199" s="34">
        <f>(H199*0.5)+(K199*0.3)+(N199*0.2)</f>
        <v>172.9</v>
      </c>
    </row>
    <row r="200" spans="2:16" x14ac:dyDescent="0.2">
      <c r="B200" s="25">
        <v>196</v>
      </c>
      <c r="C200" s="41" t="s">
        <v>317</v>
      </c>
      <c r="D200" s="42" t="s">
        <v>316</v>
      </c>
      <c r="E200" s="28" t="s">
        <v>0</v>
      </c>
      <c r="F200" s="29"/>
      <c r="G200" s="30">
        <v>0</v>
      </c>
      <c r="H200" s="43">
        <v>218</v>
      </c>
      <c r="I200" s="29"/>
      <c r="J200" s="32">
        <v>0</v>
      </c>
      <c r="K200" s="32">
        <v>213</v>
      </c>
      <c r="L200" s="29"/>
      <c r="M200" s="33">
        <v>405.06</v>
      </c>
      <c r="N200" s="33">
        <v>7</v>
      </c>
      <c r="O200" s="29"/>
      <c r="P200" s="34">
        <f>(H200*0.5)+(K200*0.3)+(N200*0.2)</f>
        <v>174.3</v>
      </c>
    </row>
    <row r="201" spans="2:16" x14ac:dyDescent="0.2">
      <c r="B201" s="25">
        <v>197</v>
      </c>
      <c r="C201" s="41" t="s">
        <v>188</v>
      </c>
      <c r="D201" s="27" t="s">
        <v>187</v>
      </c>
      <c r="E201" s="28" t="s">
        <v>3</v>
      </c>
      <c r="F201" s="29"/>
      <c r="G201" s="30">
        <v>72.11</v>
      </c>
      <c r="H201" s="31">
        <v>144</v>
      </c>
      <c r="I201" s="29"/>
      <c r="J201" s="32">
        <v>0</v>
      </c>
      <c r="K201" s="32">
        <v>213</v>
      </c>
      <c r="L201" s="29"/>
      <c r="M201" s="33">
        <v>0</v>
      </c>
      <c r="N201" s="33">
        <v>195</v>
      </c>
      <c r="O201" s="29"/>
      <c r="P201" s="34">
        <f>(H201*0.5)+(K201*0.3)+(N201*0.2)</f>
        <v>174.9</v>
      </c>
    </row>
    <row r="202" spans="2:16" x14ac:dyDescent="0.2">
      <c r="B202" s="25">
        <v>198</v>
      </c>
      <c r="C202" s="41" t="s">
        <v>190</v>
      </c>
      <c r="D202" s="27" t="s">
        <v>189</v>
      </c>
      <c r="E202" s="28" t="s">
        <v>3</v>
      </c>
      <c r="F202" s="29"/>
      <c r="G202" s="30">
        <v>23.98</v>
      </c>
      <c r="H202" s="31">
        <v>195</v>
      </c>
      <c r="I202" s="29"/>
      <c r="J202" s="32">
        <v>29.75</v>
      </c>
      <c r="K202" s="32">
        <v>189</v>
      </c>
      <c r="L202" s="29"/>
      <c r="M202" s="33">
        <v>79.490000000000009</v>
      </c>
      <c r="N202" s="33">
        <v>105</v>
      </c>
      <c r="O202" s="29"/>
      <c r="P202" s="34">
        <f>(H202*0.5)+(K202*0.3)+(N202*0.2)</f>
        <v>175.2</v>
      </c>
    </row>
    <row r="203" spans="2:16" x14ac:dyDescent="0.2">
      <c r="B203" s="25">
        <v>199</v>
      </c>
      <c r="C203" s="41" t="s">
        <v>251</v>
      </c>
      <c r="D203" s="42" t="s">
        <v>250</v>
      </c>
      <c r="E203" s="28" t="s">
        <v>9</v>
      </c>
      <c r="F203" s="29"/>
      <c r="G203" s="30">
        <v>0</v>
      </c>
      <c r="H203" s="43">
        <v>218</v>
      </c>
      <c r="I203" s="29"/>
      <c r="J203" s="32">
        <v>0</v>
      </c>
      <c r="K203" s="32">
        <v>213</v>
      </c>
      <c r="L203" s="29"/>
      <c r="M203" s="33">
        <v>271.15000000000003</v>
      </c>
      <c r="N203" s="33">
        <v>19</v>
      </c>
      <c r="O203" s="29"/>
      <c r="P203" s="34">
        <f>(H203*0.5)+(K203*0.3)+(N203*0.2)</f>
        <v>176.70000000000002</v>
      </c>
    </row>
    <row r="204" spans="2:16" x14ac:dyDescent="0.2">
      <c r="B204" s="25">
        <v>200</v>
      </c>
      <c r="C204" s="41" t="s">
        <v>247</v>
      </c>
      <c r="D204" s="42" t="s">
        <v>246</v>
      </c>
      <c r="E204" s="28" t="s">
        <v>0</v>
      </c>
      <c r="F204" s="29"/>
      <c r="G204" s="30">
        <v>0</v>
      </c>
      <c r="H204" s="43">
        <v>218</v>
      </c>
      <c r="I204" s="29"/>
      <c r="J204" s="32">
        <v>0</v>
      </c>
      <c r="K204" s="32">
        <v>213</v>
      </c>
      <c r="L204" s="29"/>
      <c r="M204" s="33">
        <v>267.90000000000003</v>
      </c>
      <c r="N204" s="33">
        <v>20</v>
      </c>
      <c r="O204" s="29"/>
      <c r="P204" s="34">
        <f>(H204*0.5)+(K204*0.3)+(N204*0.2)</f>
        <v>176.9</v>
      </c>
    </row>
    <row r="205" spans="2:16" x14ac:dyDescent="0.2">
      <c r="B205" s="25">
        <v>201</v>
      </c>
      <c r="C205" s="41" t="s">
        <v>192</v>
      </c>
      <c r="D205" s="27" t="s">
        <v>191</v>
      </c>
      <c r="E205" s="28" t="s">
        <v>20</v>
      </c>
      <c r="F205" s="29"/>
      <c r="G205" s="30">
        <v>47.47</v>
      </c>
      <c r="H205" s="31">
        <v>174</v>
      </c>
      <c r="I205" s="29"/>
      <c r="J205" s="32">
        <v>34.620000000000005</v>
      </c>
      <c r="K205" s="32">
        <v>181</v>
      </c>
      <c r="L205" s="29"/>
      <c r="M205" s="33">
        <v>15.41</v>
      </c>
      <c r="N205" s="33">
        <v>182</v>
      </c>
      <c r="O205" s="29"/>
      <c r="P205" s="34">
        <f>(H205*0.5)+(K205*0.3)+(N205*0.2)</f>
        <v>177.70000000000002</v>
      </c>
    </row>
    <row r="206" spans="2:16" x14ac:dyDescent="0.2">
      <c r="B206" s="25">
        <v>202</v>
      </c>
      <c r="C206" s="41" t="s">
        <v>84</v>
      </c>
      <c r="D206" s="27" t="s">
        <v>83</v>
      </c>
      <c r="E206" s="28" t="s">
        <v>3</v>
      </c>
      <c r="F206" s="29"/>
      <c r="G206" s="30">
        <v>24.11</v>
      </c>
      <c r="H206" s="31">
        <v>157</v>
      </c>
      <c r="I206" s="29"/>
      <c r="J206" s="32">
        <v>0</v>
      </c>
      <c r="K206" s="32">
        <v>213</v>
      </c>
      <c r="L206" s="29"/>
      <c r="M206" s="33">
        <v>0</v>
      </c>
      <c r="N206" s="33">
        <v>195</v>
      </c>
      <c r="O206" s="29"/>
      <c r="P206" s="34">
        <f>(H206*0.5)+(K206*0.3)+(N206*0.2)</f>
        <v>181.4</v>
      </c>
    </row>
    <row r="207" spans="2:16" x14ac:dyDescent="0.2">
      <c r="B207" s="25">
        <v>203</v>
      </c>
      <c r="C207" s="41" t="s">
        <v>134</v>
      </c>
      <c r="D207" s="27" t="s">
        <v>133</v>
      </c>
      <c r="E207" s="28" t="s">
        <v>20</v>
      </c>
      <c r="F207" s="29"/>
      <c r="G207" s="30">
        <v>24.89</v>
      </c>
      <c r="H207" s="31">
        <v>165</v>
      </c>
      <c r="I207" s="29"/>
      <c r="J207" s="32">
        <v>19.100000000000001</v>
      </c>
      <c r="K207" s="32">
        <v>200</v>
      </c>
      <c r="L207" s="29"/>
      <c r="M207" s="33">
        <v>0</v>
      </c>
      <c r="N207" s="33">
        <v>195</v>
      </c>
      <c r="O207" s="29"/>
      <c r="P207" s="34">
        <f>(H207*0.5)+(K207*0.3)+(N207*0.2)</f>
        <v>181.5</v>
      </c>
    </row>
    <row r="208" spans="2:16" x14ac:dyDescent="0.2">
      <c r="B208" s="25">
        <v>204</v>
      </c>
      <c r="C208" s="41" t="s">
        <v>76</v>
      </c>
      <c r="D208" s="27" t="s">
        <v>75</v>
      </c>
      <c r="E208" s="28" t="s">
        <v>44</v>
      </c>
      <c r="F208" s="29"/>
      <c r="G208" s="30">
        <v>21.81</v>
      </c>
      <c r="H208" s="31">
        <v>160</v>
      </c>
      <c r="I208" s="29"/>
      <c r="J208" s="32">
        <v>0</v>
      </c>
      <c r="K208" s="32">
        <v>213</v>
      </c>
      <c r="L208" s="29"/>
      <c r="M208" s="33">
        <v>0</v>
      </c>
      <c r="N208" s="33">
        <v>195</v>
      </c>
      <c r="O208" s="29"/>
      <c r="P208" s="34">
        <f>(H208*0.5)+(K208*0.3)+(N208*0.2)</f>
        <v>182.9</v>
      </c>
    </row>
    <row r="209" spans="2:16" x14ac:dyDescent="0.2">
      <c r="B209" s="25">
        <v>205</v>
      </c>
      <c r="C209" s="41" t="s">
        <v>114</v>
      </c>
      <c r="D209" s="27" t="s">
        <v>113</v>
      </c>
      <c r="E209" s="28" t="s">
        <v>9</v>
      </c>
      <c r="F209" s="29"/>
      <c r="G209" s="30">
        <v>31.35</v>
      </c>
      <c r="H209" s="31">
        <v>162</v>
      </c>
      <c r="I209" s="29"/>
      <c r="J209" s="32">
        <v>0</v>
      </c>
      <c r="K209" s="32">
        <v>213</v>
      </c>
      <c r="L209" s="29"/>
      <c r="M209" s="33">
        <v>0</v>
      </c>
      <c r="N209" s="33">
        <v>195</v>
      </c>
      <c r="O209" s="29"/>
      <c r="P209" s="34">
        <f>(H209*0.5)+(K209*0.3)+(N209*0.2)</f>
        <v>183.9</v>
      </c>
    </row>
    <row r="210" spans="2:16" x14ac:dyDescent="0.2">
      <c r="B210" s="25">
        <v>206</v>
      </c>
      <c r="C210" s="41" t="s">
        <v>166</v>
      </c>
      <c r="D210" s="27" t="s">
        <v>165</v>
      </c>
      <c r="E210" s="28" t="s">
        <v>0</v>
      </c>
      <c r="F210" s="29"/>
      <c r="G210" s="30">
        <v>35.97</v>
      </c>
      <c r="H210" s="31">
        <v>183</v>
      </c>
      <c r="I210" s="29"/>
      <c r="J210" s="32">
        <v>26.77</v>
      </c>
      <c r="K210" s="32">
        <v>193</v>
      </c>
      <c r="L210" s="29"/>
      <c r="M210" s="33">
        <v>23.28</v>
      </c>
      <c r="N210" s="33">
        <v>173</v>
      </c>
      <c r="O210" s="29"/>
      <c r="P210" s="34">
        <f>(H210*0.5)+(K210*0.3)+(N210*0.2)</f>
        <v>184</v>
      </c>
    </row>
    <row r="211" spans="2:16" x14ac:dyDescent="0.2">
      <c r="B211" s="25">
        <v>207</v>
      </c>
      <c r="C211" s="41" t="s">
        <v>100</v>
      </c>
      <c r="D211" s="27" t="s">
        <v>99</v>
      </c>
      <c r="E211" s="28" t="s">
        <v>20</v>
      </c>
      <c r="F211" s="29"/>
      <c r="G211" s="30">
        <v>28.400000000000002</v>
      </c>
      <c r="H211" s="31">
        <v>163</v>
      </c>
      <c r="I211" s="29"/>
      <c r="J211" s="32">
        <v>0</v>
      </c>
      <c r="K211" s="32">
        <v>213</v>
      </c>
      <c r="L211" s="29"/>
      <c r="M211" s="33">
        <v>0</v>
      </c>
      <c r="N211" s="33">
        <v>195</v>
      </c>
      <c r="O211" s="29"/>
      <c r="P211" s="34">
        <f>(H211*0.5)+(K211*0.3)+(N211*0.2)</f>
        <v>184.4</v>
      </c>
    </row>
    <row r="212" spans="2:16" x14ac:dyDescent="0.2">
      <c r="B212" s="25">
        <v>208</v>
      </c>
      <c r="C212" s="41" t="s">
        <v>78</v>
      </c>
      <c r="D212" s="27" t="s">
        <v>77</v>
      </c>
      <c r="E212" s="28" t="s">
        <v>20</v>
      </c>
      <c r="F212" s="29"/>
      <c r="G212" s="30">
        <v>22.400000000000002</v>
      </c>
      <c r="H212" s="31">
        <v>164</v>
      </c>
      <c r="I212" s="29"/>
      <c r="J212" s="32">
        <v>0</v>
      </c>
      <c r="K212" s="32">
        <v>213</v>
      </c>
      <c r="L212" s="29"/>
      <c r="M212" s="33">
        <v>0</v>
      </c>
      <c r="N212" s="33">
        <v>195</v>
      </c>
      <c r="O212" s="29"/>
      <c r="P212" s="34">
        <f>(H212*0.5)+(K212*0.3)+(N212*0.2)</f>
        <v>184.9</v>
      </c>
    </row>
    <row r="213" spans="2:16" x14ac:dyDescent="0.2">
      <c r="B213" s="25">
        <v>209</v>
      </c>
      <c r="C213" s="41" t="s">
        <v>158</v>
      </c>
      <c r="D213" s="42" t="s">
        <v>157</v>
      </c>
      <c r="E213" s="28" t="s">
        <v>20</v>
      </c>
      <c r="F213" s="29"/>
      <c r="G213" s="30">
        <v>0</v>
      </c>
      <c r="H213" s="43">
        <v>218</v>
      </c>
      <c r="I213" s="29"/>
      <c r="J213" s="32">
        <v>67.25</v>
      </c>
      <c r="K213" s="32">
        <v>144</v>
      </c>
      <c r="L213" s="29"/>
      <c r="M213" s="33">
        <v>24.92</v>
      </c>
      <c r="N213" s="33">
        <v>170</v>
      </c>
      <c r="O213" s="29"/>
      <c r="P213" s="34">
        <f>(H213*0.5)+(K213*0.3)+(N213*0.2)</f>
        <v>186.2</v>
      </c>
    </row>
    <row r="214" spans="2:16" x14ac:dyDescent="0.2">
      <c r="B214" s="25">
        <v>210</v>
      </c>
      <c r="C214" s="41" t="s">
        <v>122</v>
      </c>
      <c r="D214" s="27" t="s">
        <v>121</v>
      </c>
      <c r="E214" s="28" t="s">
        <v>44</v>
      </c>
      <c r="F214" s="29"/>
      <c r="G214" s="30">
        <v>13.530000000000001</v>
      </c>
      <c r="H214" s="31">
        <v>192</v>
      </c>
      <c r="I214" s="29"/>
      <c r="J214" s="32">
        <v>0</v>
      </c>
      <c r="K214" s="32">
        <v>213</v>
      </c>
      <c r="L214" s="29"/>
      <c r="M214" s="33">
        <v>51.400000000000013</v>
      </c>
      <c r="N214" s="33">
        <v>135</v>
      </c>
      <c r="O214" s="29"/>
      <c r="P214" s="34">
        <f>(H214*0.5)+(K214*0.3)+(N214*0.2)</f>
        <v>186.9</v>
      </c>
    </row>
    <row r="215" spans="2:16" x14ac:dyDescent="0.2">
      <c r="B215" s="25">
        <v>211</v>
      </c>
      <c r="C215" s="41" t="s">
        <v>154</v>
      </c>
      <c r="D215" s="42" t="s">
        <v>153</v>
      </c>
      <c r="E215" s="28" t="s">
        <v>9</v>
      </c>
      <c r="F215" s="29"/>
      <c r="G215" s="30">
        <v>0</v>
      </c>
      <c r="H215" s="43">
        <v>218</v>
      </c>
      <c r="I215" s="29"/>
      <c r="J215" s="32">
        <v>82.34</v>
      </c>
      <c r="K215" s="32">
        <v>130</v>
      </c>
      <c r="L215" s="29"/>
      <c r="M215" s="33">
        <v>0</v>
      </c>
      <c r="N215" s="33">
        <v>195</v>
      </c>
      <c r="O215" s="29"/>
      <c r="P215" s="34">
        <f>(H215*0.5)+(K215*0.3)+(N215*0.2)</f>
        <v>187</v>
      </c>
    </row>
    <row r="216" spans="2:16" x14ac:dyDescent="0.2">
      <c r="B216" s="25">
        <v>212</v>
      </c>
      <c r="C216" s="41" t="s">
        <v>172</v>
      </c>
      <c r="D216" s="27" t="s">
        <v>171</v>
      </c>
      <c r="E216" s="28" t="s">
        <v>6</v>
      </c>
      <c r="F216" s="29"/>
      <c r="G216" s="30">
        <v>48.24</v>
      </c>
      <c r="H216" s="31">
        <v>179</v>
      </c>
      <c r="I216" s="29"/>
      <c r="J216" s="32">
        <v>24.560000000000002</v>
      </c>
      <c r="K216" s="32">
        <v>195</v>
      </c>
      <c r="L216" s="29"/>
      <c r="M216" s="33">
        <v>0</v>
      </c>
      <c r="N216" s="33">
        <v>195</v>
      </c>
      <c r="O216" s="29"/>
      <c r="P216" s="34">
        <f>(H216*0.5)+(K216*0.3)+(N216*0.2)</f>
        <v>187</v>
      </c>
    </row>
    <row r="217" spans="2:16" x14ac:dyDescent="0.2">
      <c r="B217" s="25">
        <v>213</v>
      </c>
      <c r="C217" s="41" t="s">
        <v>156</v>
      </c>
      <c r="D217" s="27" t="s">
        <v>155</v>
      </c>
      <c r="E217" s="28" t="s">
        <v>6</v>
      </c>
      <c r="F217" s="29"/>
      <c r="G217" s="30">
        <v>50.28</v>
      </c>
      <c r="H217" s="31">
        <v>170</v>
      </c>
      <c r="I217" s="29"/>
      <c r="J217" s="32">
        <v>0</v>
      </c>
      <c r="K217" s="32">
        <v>213</v>
      </c>
      <c r="L217" s="29"/>
      <c r="M217" s="33">
        <v>0</v>
      </c>
      <c r="N217" s="33">
        <v>195</v>
      </c>
      <c r="O217" s="29"/>
      <c r="P217" s="34">
        <f>(H217*0.5)+(K217*0.3)+(N217*0.2)</f>
        <v>187.9</v>
      </c>
    </row>
    <row r="218" spans="2:16" x14ac:dyDescent="0.2">
      <c r="B218" s="25">
        <v>214</v>
      </c>
      <c r="C218" s="41" t="s">
        <v>74</v>
      </c>
      <c r="D218" s="27" t="s">
        <v>73</v>
      </c>
      <c r="E218" s="28" t="s">
        <v>20</v>
      </c>
      <c r="F218" s="29"/>
      <c r="G218" s="30">
        <v>20.990000000000002</v>
      </c>
      <c r="H218" s="31">
        <v>171</v>
      </c>
      <c r="I218" s="29"/>
      <c r="J218" s="32">
        <v>0</v>
      </c>
      <c r="K218" s="32">
        <v>213</v>
      </c>
      <c r="L218" s="29"/>
      <c r="M218" s="33">
        <v>0</v>
      </c>
      <c r="N218" s="33">
        <v>195</v>
      </c>
      <c r="O218" s="29"/>
      <c r="P218" s="34">
        <f>(H218*0.5)+(K218*0.3)+(N218*0.2)</f>
        <v>188.4</v>
      </c>
    </row>
    <row r="219" spans="2:16" x14ac:dyDescent="0.2">
      <c r="B219" s="25">
        <v>215</v>
      </c>
      <c r="C219" s="41" t="s">
        <v>150</v>
      </c>
      <c r="D219" s="42" t="s">
        <v>149</v>
      </c>
      <c r="E219" s="28" t="s">
        <v>20</v>
      </c>
      <c r="F219" s="29"/>
      <c r="G219" s="30">
        <v>0</v>
      </c>
      <c r="H219" s="43">
        <v>218</v>
      </c>
      <c r="I219" s="29"/>
      <c r="J219" s="32">
        <v>43.71</v>
      </c>
      <c r="K219" s="32">
        <v>169</v>
      </c>
      <c r="L219" s="29"/>
      <c r="M219" s="33">
        <v>45.52</v>
      </c>
      <c r="N219" s="33">
        <v>145</v>
      </c>
      <c r="O219" s="29"/>
      <c r="P219" s="34">
        <f>(H219*0.5)+(K219*0.3)+(N219*0.2)</f>
        <v>188.7</v>
      </c>
    </row>
    <row r="220" spans="2:16" x14ac:dyDescent="0.2">
      <c r="B220" s="25">
        <v>216</v>
      </c>
      <c r="C220" s="41" t="s">
        <v>140</v>
      </c>
      <c r="D220" s="27" t="s">
        <v>139</v>
      </c>
      <c r="E220" s="28" t="s">
        <v>9</v>
      </c>
      <c r="F220" s="29"/>
      <c r="G220" s="30">
        <v>7.37</v>
      </c>
      <c r="H220" s="31">
        <v>205</v>
      </c>
      <c r="I220" s="29"/>
      <c r="J220" s="32">
        <v>50.720000000000013</v>
      </c>
      <c r="K220" s="32">
        <v>159</v>
      </c>
      <c r="L220" s="29"/>
      <c r="M220" s="33">
        <v>0</v>
      </c>
      <c r="N220" s="33">
        <v>195</v>
      </c>
      <c r="O220" s="29"/>
      <c r="P220" s="34">
        <f>(H220*0.5)+(K220*0.3)+(N220*0.2)</f>
        <v>189.2</v>
      </c>
    </row>
    <row r="221" spans="2:16" x14ac:dyDescent="0.2">
      <c r="B221" s="25">
        <v>217</v>
      </c>
      <c r="C221" s="41" t="s">
        <v>66</v>
      </c>
      <c r="D221" s="27" t="s">
        <v>65</v>
      </c>
      <c r="E221" s="28" t="s">
        <v>3</v>
      </c>
      <c r="F221" s="29"/>
      <c r="G221" s="30">
        <v>19.220000000000002</v>
      </c>
      <c r="H221" s="31">
        <v>173</v>
      </c>
      <c r="I221" s="29"/>
      <c r="J221" s="32">
        <v>0</v>
      </c>
      <c r="K221" s="32">
        <v>213</v>
      </c>
      <c r="L221" s="29"/>
      <c r="M221" s="33">
        <v>0</v>
      </c>
      <c r="N221" s="33">
        <v>195</v>
      </c>
      <c r="O221" s="29"/>
      <c r="P221" s="34">
        <f>(H221*0.5)+(K221*0.3)+(N221*0.2)</f>
        <v>189.4</v>
      </c>
    </row>
    <row r="222" spans="2:16" x14ac:dyDescent="0.2">
      <c r="B222" s="25">
        <v>218</v>
      </c>
      <c r="C222" s="41" t="s">
        <v>148</v>
      </c>
      <c r="D222" s="42" t="s">
        <v>147</v>
      </c>
      <c r="E222" s="28" t="s">
        <v>9</v>
      </c>
      <c r="F222" s="29"/>
      <c r="G222" s="30">
        <v>0</v>
      </c>
      <c r="H222" s="43">
        <v>218</v>
      </c>
      <c r="I222" s="29"/>
      <c r="J222" s="32">
        <v>64.710000000000008</v>
      </c>
      <c r="K222" s="32">
        <v>145</v>
      </c>
      <c r="L222" s="29"/>
      <c r="M222" s="33">
        <v>5.71</v>
      </c>
      <c r="N222" s="33">
        <v>189</v>
      </c>
      <c r="O222" s="29"/>
      <c r="P222" s="34">
        <f>(H222*0.5)+(K222*0.3)+(N222*0.2)</f>
        <v>190.3</v>
      </c>
    </row>
    <row r="223" spans="2:16" x14ac:dyDescent="0.2">
      <c r="B223" s="25">
        <v>219</v>
      </c>
      <c r="C223" s="41" t="s">
        <v>136</v>
      </c>
      <c r="D223" s="27" t="s">
        <v>135</v>
      </c>
      <c r="E223" s="28" t="s">
        <v>3</v>
      </c>
      <c r="F223" s="29"/>
      <c r="G223" s="30">
        <v>37.440000000000005</v>
      </c>
      <c r="H223" s="31">
        <v>177</v>
      </c>
      <c r="I223" s="29"/>
      <c r="J223" s="32">
        <v>0</v>
      </c>
      <c r="K223" s="32">
        <v>213</v>
      </c>
      <c r="L223" s="29"/>
      <c r="M223" s="33">
        <v>0</v>
      </c>
      <c r="N223" s="33">
        <v>195</v>
      </c>
      <c r="O223" s="29"/>
      <c r="P223" s="34">
        <f>(H223*0.5)+(K223*0.3)+(N223*0.2)</f>
        <v>191.4</v>
      </c>
    </row>
    <row r="224" spans="2:16" x14ac:dyDescent="0.2">
      <c r="B224" s="25">
        <v>220</v>
      </c>
      <c r="C224" s="41" t="s">
        <v>142</v>
      </c>
      <c r="D224" s="42" t="s">
        <v>141</v>
      </c>
      <c r="E224" s="28" t="s">
        <v>6</v>
      </c>
      <c r="F224" s="29"/>
      <c r="G224" s="30">
        <v>0</v>
      </c>
      <c r="H224" s="43">
        <v>218</v>
      </c>
      <c r="I224" s="29"/>
      <c r="J224" s="32">
        <v>0</v>
      </c>
      <c r="K224" s="32">
        <v>213</v>
      </c>
      <c r="L224" s="29"/>
      <c r="M224" s="33">
        <v>96.4</v>
      </c>
      <c r="N224" s="33">
        <v>93</v>
      </c>
      <c r="O224" s="29"/>
      <c r="P224" s="34">
        <f>(H224*0.5)+(K224*0.3)+(N224*0.2)</f>
        <v>191.5</v>
      </c>
    </row>
    <row r="225" spans="2:16" x14ac:dyDescent="0.2">
      <c r="B225" s="25">
        <v>221</v>
      </c>
      <c r="C225" s="41" t="s">
        <v>144</v>
      </c>
      <c r="D225" s="27" t="s">
        <v>143</v>
      </c>
      <c r="E225" s="28" t="s">
        <v>3</v>
      </c>
      <c r="F225" s="29"/>
      <c r="G225" s="30">
        <v>30.220000000000006</v>
      </c>
      <c r="H225" s="31">
        <v>184</v>
      </c>
      <c r="I225" s="29"/>
      <c r="J225" s="32">
        <v>14.020000000000003</v>
      </c>
      <c r="K225" s="32">
        <v>202</v>
      </c>
      <c r="L225" s="29"/>
      <c r="M225" s="33">
        <v>0</v>
      </c>
      <c r="N225" s="33">
        <v>195</v>
      </c>
      <c r="O225" s="29"/>
      <c r="P225" s="34">
        <f>(H225*0.5)+(K225*0.3)+(N225*0.2)</f>
        <v>191.6</v>
      </c>
    </row>
    <row r="226" spans="2:16" x14ac:dyDescent="0.2">
      <c r="B226" s="25">
        <v>222</v>
      </c>
      <c r="C226" s="41" t="s">
        <v>138</v>
      </c>
      <c r="D226" s="42" t="s">
        <v>137</v>
      </c>
      <c r="E226" s="28" t="s">
        <v>44</v>
      </c>
      <c r="F226" s="29"/>
      <c r="G226" s="30">
        <v>0</v>
      </c>
      <c r="H226" s="43">
        <v>218</v>
      </c>
      <c r="I226" s="29"/>
      <c r="J226" s="32">
        <v>62.95</v>
      </c>
      <c r="K226" s="32">
        <v>147</v>
      </c>
      <c r="L226" s="29"/>
      <c r="M226" s="33">
        <v>0</v>
      </c>
      <c r="N226" s="33">
        <v>195</v>
      </c>
      <c r="O226" s="29"/>
      <c r="P226" s="34">
        <f>(H226*0.5)+(K226*0.3)+(N226*0.2)</f>
        <v>192.1</v>
      </c>
    </row>
    <row r="227" spans="2:16" x14ac:dyDescent="0.2">
      <c r="B227" s="25">
        <v>223</v>
      </c>
      <c r="C227" s="41" t="s">
        <v>146</v>
      </c>
      <c r="D227" s="42" t="s">
        <v>145</v>
      </c>
      <c r="E227" s="28" t="s">
        <v>20</v>
      </c>
      <c r="F227" s="29"/>
      <c r="G227" s="30">
        <v>0</v>
      </c>
      <c r="H227" s="43">
        <v>218</v>
      </c>
      <c r="I227" s="29"/>
      <c r="J227" s="32">
        <v>31.96</v>
      </c>
      <c r="K227" s="32">
        <v>186</v>
      </c>
      <c r="L227" s="29"/>
      <c r="M227" s="33">
        <v>50.730000000000004</v>
      </c>
      <c r="N227" s="33">
        <v>137</v>
      </c>
      <c r="O227" s="29"/>
      <c r="P227" s="34">
        <f>(H227*0.5)+(K227*0.3)+(N227*0.2)</f>
        <v>192.20000000000002</v>
      </c>
    </row>
    <row r="228" spans="2:16" x14ac:dyDescent="0.2">
      <c r="B228" s="25">
        <v>224</v>
      </c>
      <c r="C228" s="41" t="s">
        <v>96</v>
      </c>
      <c r="D228" s="27" t="s">
        <v>95</v>
      </c>
      <c r="E228" s="28" t="s">
        <v>3</v>
      </c>
      <c r="F228" s="29"/>
      <c r="G228" s="30">
        <v>16.36</v>
      </c>
      <c r="H228" s="31">
        <v>186</v>
      </c>
      <c r="I228" s="29"/>
      <c r="J228" s="32">
        <v>18.34</v>
      </c>
      <c r="K228" s="32">
        <v>201</v>
      </c>
      <c r="L228" s="29"/>
      <c r="M228" s="33">
        <v>0</v>
      </c>
      <c r="N228" s="33">
        <v>195</v>
      </c>
      <c r="O228" s="29"/>
      <c r="P228" s="34">
        <f>(H228*0.5)+(K228*0.3)+(N228*0.2)</f>
        <v>192.3</v>
      </c>
    </row>
    <row r="229" spans="2:16" x14ac:dyDescent="0.2">
      <c r="B229" s="25">
        <v>225</v>
      </c>
      <c r="C229" s="41" t="s">
        <v>102</v>
      </c>
      <c r="D229" s="27" t="s">
        <v>101</v>
      </c>
      <c r="E229" s="28" t="s">
        <v>20</v>
      </c>
      <c r="F229" s="29"/>
      <c r="G229" s="30">
        <v>28.900000000000002</v>
      </c>
      <c r="H229" s="31">
        <v>180</v>
      </c>
      <c r="I229" s="29"/>
      <c r="J229" s="32">
        <v>0</v>
      </c>
      <c r="K229" s="32">
        <v>213</v>
      </c>
      <c r="L229" s="29"/>
      <c r="M229" s="33">
        <v>0</v>
      </c>
      <c r="N229" s="33">
        <v>195</v>
      </c>
      <c r="O229" s="29"/>
      <c r="P229" s="34">
        <f>(H229*0.5)+(K229*0.3)+(N229*0.2)</f>
        <v>192.9</v>
      </c>
    </row>
    <row r="230" spans="2:16" x14ac:dyDescent="0.2">
      <c r="B230" s="25">
        <v>226</v>
      </c>
      <c r="C230" s="41" t="s">
        <v>120</v>
      </c>
      <c r="D230" s="42" t="s">
        <v>119</v>
      </c>
      <c r="E230" s="28" t="s">
        <v>9</v>
      </c>
      <c r="F230" s="29"/>
      <c r="G230" s="30">
        <v>0</v>
      </c>
      <c r="H230" s="43">
        <v>218</v>
      </c>
      <c r="I230" s="29"/>
      <c r="J230" s="32">
        <v>56.43</v>
      </c>
      <c r="K230" s="32">
        <v>151</v>
      </c>
      <c r="L230" s="29"/>
      <c r="M230" s="33">
        <v>0</v>
      </c>
      <c r="N230" s="33">
        <v>195</v>
      </c>
      <c r="O230" s="29"/>
      <c r="P230" s="34">
        <f>(H230*0.5)+(K230*0.3)+(N230*0.2)</f>
        <v>193.3</v>
      </c>
    </row>
    <row r="231" spans="2:16" x14ac:dyDescent="0.2">
      <c r="B231" s="25">
        <v>227</v>
      </c>
      <c r="C231" s="41" t="s">
        <v>118</v>
      </c>
      <c r="D231" s="27" t="s">
        <v>117</v>
      </c>
      <c r="E231" s="28" t="s">
        <v>0</v>
      </c>
      <c r="F231" s="29"/>
      <c r="G231" s="30">
        <v>20.86</v>
      </c>
      <c r="H231" s="31">
        <v>190</v>
      </c>
      <c r="I231" s="29"/>
      <c r="J231" s="32">
        <v>21.150000000000002</v>
      </c>
      <c r="K231" s="32">
        <v>198</v>
      </c>
      <c r="L231" s="29"/>
      <c r="M231" s="33">
        <v>0</v>
      </c>
      <c r="N231" s="33">
        <v>195</v>
      </c>
      <c r="O231" s="29"/>
      <c r="P231" s="34">
        <f>(H231*0.5)+(K231*0.3)+(N231*0.2)</f>
        <v>193.4</v>
      </c>
    </row>
    <row r="232" spans="2:16" x14ac:dyDescent="0.2">
      <c r="B232" s="25">
        <v>228</v>
      </c>
      <c r="C232" s="41" t="s">
        <v>126</v>
      </c>
      <c r="D232" s="42" t="s">
        <v>125</v>
      </c>
      <c r="E232" s="28" t="s">
        <v>0</v>
      </c>
      <c r="F232" s="29"/>
      <c r="G232" s="30">
        <v>0</v>
      </c>
      <c r="H232" s="43">
        <v>218</v>
      </c>
      <c r="I232" s="29"/>
      <c r="J232" s="32">
        <v>55.510000000000012</v>
      </c>
      <c r="K232" s="32">
        <v>153</v>
      </c>
      <c r="L232" s="29"/>
      <c r="M232" s="33">
        <v>3.16</v>
      </c>
      <c r="N232" s="33">
        <v>193</v>
      </c>
      <c r="O232" s="29"/>
      <c r="P232" s="34">
        <f>(H232*0.5)+(K232*0.3)+(N232*0.2)</f>
        <v>193.5</v>
      </c>
    </row>
    <row r="233" spans="2:16" x14ac:dyDescent="0.2">
      <c r="B233" s="25">
        <v>229</v>
      </c>
      <c r="C233" s="41" t="s">
        <v>128</v>
      </c>
      <c r="D233" s="27" t="s">
        <v>127</v>
      </c>
      <c r="E233" s="28" t="s">
        <v>44</v>
      </c>
      <c r="F233" s="29"/>
      <c r="G233" s="30">
        <v>9.8600000000000012</v>
      </c>
      <c r="H233" s="31">
        <v>211</v>
      </c>
      <c r="I233" s="29"/>
      <c r="J233" s="32">
        <v>3.04</v>
      </c>
      <c r="K233" s="32">
        <v>210</v>
      </c>
      <c r="L233" s="29"/>
      <c r="M233" s="33">
        <v>57.82</v>
      </c>
      <c r="N233" s="33">
        <v>127</v>
      </c>
      <c r="O233" s="29"/>
      <c r="P233" s="34">
        <f>(H233*0.5)+(K233*0.3)+(N233*0.2)</f>
        <v>193.9</v>
      </c>
    </row>
    <row r="234" spans="2:16" x14ac:dyDescent="0.2">
      <c r="B234" s="25">
        <v>230</v>
      </c>
      <c r="C234" s="41" t="s">
        <v>106</v>
      </c>
      <c r="D234" s="27" t="s">
        <v>105</v>
      </c>
      <c r="E234" s="28" t="s">
        <v>3</v>
      </c>
      <c r="F234" s="29"/>
      <c r="G234" s="30">
        <v>29.380000000000006</v>
      </c>
      <c r="H234" s="31">
        <v>182</v>
      </c>
      <c r="I234" s="29"/>
      <c r="J234" s="32">
        <v>0</v>
      </c>
      <c r="K234" s="32">
        <v>213</v>
      </c>
      <c r="L234" s="29"/>
      <c r="M234" s="33">
        <v>0</v>
      </c>
      <c r="N234" s="33">
        <v>195</v>
      </c>
      <c r="O234" s="29"/>
      <c r="P234" s="34">
        <f>(H234*0.5)+(K234*0.3)+(N234*0.2)</f>
        <v>193.9</v>
      </c>
    </row>
    <row r="235" spans="2:16" x14ac:dyDescent="0.2">
      <c r="B235" s="25">
        <v>231</v>
      </c>
      <c r="C235" s="41" t="s">
        <v>98</v>
      </c>
      <c r="D235" s="27" t="s">
        <v>97</v>
      </c>
      <c r="E235" s="28" t="s">
        <v>20</v>
      </c>
      <c r="F235" s="29"/>
      <c r="G235" s="30">
        <v>6.2</v>
      </c>
      <c r="H235" s="31">
        <v>207</v>
      </c>
      <c r="I235" s="29"/>
      <c r="J235" s="32">
        <v>11.43</v>
      </c>
      <c r="K235" s="32">
        <v>204</v>
      </c>
      <c r="L235" s="29"/>
      <c r="M235" s="33">
        <v>35.800000000000004</v>
      </c>
      <c r="N235" s="33">
        <v>152</v>
      </c>
      <c r="O235" s="29"/>
      <c r="P235" s="34">
        <f>(H235*0.5)+(K235*0.3)+(N235*0.2)</f>
        <v>195.1</v>
      </c>
    </row>
    <row r="236" spans="2:16" x14ac:dyDescent="0.2">
      <c r="B236" s="25">
        <v>232</v>
      </c>
      <c r="C236" s="41" t="s">
        <v>124</v>
      </c>
      <c r="D236" s="42" t="s">
        <v>123</v>
      </c>
      <c r="E236" s="28" t="s">
        <v>3</v>
      </c>
      <c r="F236" s="29"/>
      <c r="G236" s="30">
        <v>0</v>
      </c>
      <c r="H236" s="43">
        <v>218</v>
      </c>
      <c r="I236" s="29"/>
      <c r="J236" s="32">
        <v>43.300000000000004</v>
      </c>
      <c r="K236" s="32">
        <v>170</v>
      </c>
      <c r="L236" s="29"/>
      <c r="M236" s="33">
        <v>20.95</v>
      </c>
      <c r="N236" s="33">
        <v>176</v>
      </c>
      <c r="O236" s="29"/>
      <c r="P236" s="34">
        <f>(H236*0.5)+(K236*0.3)+(N236*0.2)</f>
        <v>195.2</v>
      </c>
    </row>
    <row r="237" spans="2:16" x14ac:dyDescent="0.2">
      <c r="B237" s="25">
        <v>233</v>
      </c>
      <c r="C237" s="41" t="s">
        <v>116</v>
      </c>
      <c r="D237" s="42" t="s">
        <v>115</v>
      </c>
      <c r="E237" s="28" t="s">
        <v>3</v>
      </c>
      <c r="F237" s="29"/>
      <c r="G237" s="30">
        <v>0</v>
      </c>
      <c r="H237" s="43">
        <v>218</v>
      </c>
      <c r="I237" s="29"/>
      <c r="J237" s="32">
        <v>49.04</v>
      </c>
      <c r="K237" s="32">
        <v>161</v>
      </c>
      <c r="L237" s="29"/>
      <c r="M237" s="33">
        <v>5.5200000000000005</v>
      </c>
      <c r="N237" s="33">
        <v>190</v>
      </c>
      <c r="O237" s="29"/>
      <c r="P237" s="34">
        <f>(H237*0.5)+(K237*0.3)+(N237*0.2)</f>
        <v>195.3</v>
      </c>
    </row>
    <row r="238" spans="2:16" x14ac:dyDescent="0.2">
      <c r="B238" s="25">
        <v>234</v>
      </c>
      <c r="C238" s="41" t="s">
        <v>132</v>
      </c>
      <c r="D238" s="27" t="s">
        <v>131</v>
      </c>
      <c r="E238" s="28" t="s">
        <v>3</v>
      </c>
      <c r="F238" s="29"/>
      <c r="G238" s="30">
        <v>36.160000000000004</v>
      </c>
      <c r="H238" s="31">
        <v>185</v>
      </c>
      <c r="I238" s="29"/>
      <c r="J238" s="32">
        <v>0</v>
      </c>
      <c r="K238" s="32">
        <v>213</v>
      </c>
      <c r="L238" s="29"/>
      <c r="M238" s="33">
        <v>0</v>
      </c>
      <c r="N238" s="33">
        <v>195</v>
      </c>
      <c r="O238" s="29"/>
      <c r="P238" s="34">
        <f>(H238*0.5)+(K238*0.3)+(N238*0.2)</f>
        <v>195.4</v>
      </c>
    </row>
    <row r="239" spans="2:16" x14ac:dyDescent="0.2">
      <c r="B239" s="25">
        <v>235</v>
      </c>
      <c r="C239" s="41" t="s">
        <v>92</v>
      </c>
      <c r="D239" s="42" t="s">
        <v>91</v>
      </c>
      <c r="E239" s="28" t="s">
        <v>3</v>
      </c>
      <c r="F239" s="29"/>
      <c r="G239" s="30">
        <v>0</v>
      </c>
      <c r="H239" s="43">
        <v>218</v>
      </c>
      <c r="I239" s="29"/>
      <c r="J239" s="32">
        <v>0</v>
      </c>
      <c r="K239" s="32">
        <v>213</v>
      </c>
      <c r="L239" s="29"/>
      <c r="M239" s="33">
        <v>66.58</v>
      </c>
      <c r="N239" s="33">
        <v>116</v>
      </c>
      <c r="O239" s="29"/>
      <c r="P239" s="34">
        <f>(H239*0.5)+(K239*0.3)+(N239*0.2)</f>
        <v>196.10000000000002</v>
      </c>
    </row>
    <row r="240" spans="2:16" x14ac:dyDescent="0.2">
      <c r="B240" s="25">
        <v>236</v>
      </c>
      <c r="C240" s="41" t="s">
        <v>86</v>
      </c>
      <c r="D240" s="42" t="s">
        <v>85</v>
      </c>
      <c r="E240" s="28" t="s">
        <v>0</v>
      </c>
      <c r="F240" s="29"/>
      <c r="G240" s="30">
        <v>0</v>
      </c>
      <c r="H240" s="43">
        <v>218</v>
      </c>
      <c r="I240" s="29"/>
      <c r="J240" s="32">
        <v>0</v>
      </c>
      <c r="K240" s="32">
        <v>213</v>
      </c>
      <c r="L240" s="29"/>
      <c r="M240" s="33">
        <v>61.57</v>
      </c>
      <c r="N240" s="33">
        <v>118</v>
      </c>
      <c r="O240" s="29"/>
      <c r="P240" s="34">
        <f>(H240*0.5)+(K240*0.3)+(N240*0.2)</f>
        <v>196.5</v>
      </c>
    </row>
    <row r="241" spans="2:16" x14ac:dyDescent="0.2">
      <c r="B241" s="25">
        <v>237</v>
      </c>
      <c r="C241" s="41" t="s">
        <v>108</v>
      </c>
      <c r="D241" s="27" t="s">
        <v>107</v>
      </c>
      <c r="E241" s="28" t="s">
        <v>0</v>
      </c>
      <c r="F241" s="29"/>
      <c r="G241" s="30">
        <v>1</v>
      </c>
      <c r="H241" s="31">
        <v>216</v>
      </c>
      <c r="I241" s="29"/>
      <c r="J241" s="32">
        <v>37.06</v>
      </c>
      <c r="K241" s="32">
        <v>177</v>
      </c>
      <c r="L241" s="29"/>
      <c r="M241" s="33">
        <v>16.93</v>
      </c>
      <c r="N241" s="33">
        <v>179</v>
      </c>
      <c r="O241" s="29"/>
      <c r="P241" s="34">
        <f>(H241*0.5)+(K241*0.3)+(N241*0.2)</f>
        <v>196.9</v>
      </c>
    </row>
    <row r="242" spans="2:16" x14ac:dyDescent="0.2">
      <c r="B242" s="25">
        <v>238</v>
      </c>
      <c r="C242" s="41" t="s">
        <v>70</v>
      </c>
      <c r="D242" s="27" t="s">
        <v>69</v>
      </c>
      <c r="E242" s="28" t="s">
        <v>3</v>
      </c>
      <c r="F242" s="29"/>
      <c r="G242" s="30">
        <v>20.650000000000002</v>
      </c>
      <c r="H242" s="31">
        <v>188</v>
      </c>
      <c r="I242" s="29"/>
      <c r="J242" s="32">
        <v>0</v>
      </c>
      <c r="K242" s="32">
        <v>213</v>
      </c>
      <c r="L242" s="29"/>
      <c r="M242" s="33">
        <v>0</v>
      </c>
      <c r="N242" s="33">
        <v>195</v>
      </c>
      <c r="O242" s="29"/>
      <c r="P242" s="34">
        <f>(H242*0.5)+(K242*0.3)+(N242*0.2)</f>
        <v>196.9</v>
      </c>
    </row>
    <row r="243" spans="2:16" x14ac:dyDescent="0.2">
      <c r="B243" s="25">
        <v>239</v>
      </c>
      <c r="C243" s="41" t="s">
        <v>94</v>
      </c>
      <c r="D243" s="42" t="s">
        <v>93</v>
      </c>
      <c r="E243" s="28" t="s">
        <v>0</v>
      </c>
      <c r="F243" s="29"/>
      <c r="G243" s="30">
        <v>0</v>
      </c>
      <c r="H243" s="43">
        <v>218</v>
      </c>
      <c r="I243" s="29"/>
      <c r="J243" s="32">
        <v>44.650000000000013</v>
      </c>
      <c r="K243" s="32">
        <v>165</v>
      </c>
      <c r="L243" s="29"/>
      <c r="M243" s="33">
        <v>0</v>
      </c>
      <c r="N243" s="33">
        <v>195</v>
      </c>
      <c r="O243" s="29"/>
      <c r="P243" s="34">
        <f>(H243*0.5)+(K243*0.3)+(N243*0.2)</f>
        <v>197.5</v>
      </c>
    </row>
    <row r="244" spans="2:16" x14ac:dyDescent="0.2">
      <c r="B244" s="25">
        <v>240</v>
      </c>
      <c r="C244" s="41" t="s">
        <v>110</v>
      </c>
      <c r="D244" s="42" t="s">
        <v>109</v>
      </c>
      <c r="E244" s="28" t="s">
        <v>29</v>
      </c>
      <c r="F244" s="29"/>
      <c r="G244" s="30">
        <v>0</v>
      </c>
      <c r="H244" s="43">
        <v>218</v>
      </c>
      <c r="I244" s="29"/>
      <c r="J244" s="32">
        <v>29.35</v>
      </c>
      <c r="K244" s="32">
        <v>190</v>
      </c>
      <c r="L244" s="29"/>
      <c r="M244" s="33">
        <v>32.89</v>
      </c>
      <c r="N244" s="33">
        <v>158</v>
      </c>
      <c r="O244" s="29"/>
      <c r="P244" s="34">
        <f>(H244*0.5)+(K244*0.3)+(N244*0.2)</f>
        <v>197.6</v>
      </c>
    </row>
    <row r="245" spans="2:16" x14ac:dyDescent="0.2">
      <c r="B245" s="25">
        <v>241</v>
      </c>
      <c r="C245" s="41" t="s">
        <v>82</v>
      </c>
      <c r="D245" s="42" t="s">
        <v>81</v>
      </c>
      <c r="E245" s="28" t="s">
        <v>0</v>
      </c>
      <c r="F245" s="29"/>
      <c r="G245" s="30">
        <v>0</v>
      </c>
      <c r="H245" s="43">
        <v>218</v>
      </c>
      <c r="I245" s="29"/>
      <c r="J245" s="32">
        <v>0</v>
      </c>
      <c r="K245" s="32">
        <v>213</v>
      </c>
      <c r="L245" s="29"/>
      <c r="M245" s="33">
        <v>60</v>
      </c>
      <c r="N245" s="33">
        <v>124</v>
      </c>
      <c r="O245" s="29"/>
      <c r="P245" s="34">
        <f>(H245*0.5)+(K245*0.3)+(N245*0.2)</f>
        <v>197.70000000000002</v>
      </c>
    </row>
    <row r="246" spans="2:16" x14ac:dyDescent="0.2">
      <c r="B246" s="25">
        <v>242</v>
      </c>
      <c r="C246" s="41" t="s">
        <v>130</v>
      </c>
      <c r="D246" s="27" t="s">
        <v>129</v>
      </c>
      <c r="E246" s="28" t="s">
        <v>29</v>
      </c>
      <c r="F246" s="29"/>
      <c r="G246" s="30">
        <v>10.99</v>
      </c>
      <c r="H246" s="31">
        <v>210</v>
      </c>
      <c r="I246" s="29"/>
      <c r="J246" s="32">
        <v>23.86</v>
      </c>
      <c r="K246" s="32">
        <v>197</v>
      </c>
      <c r="L246" s="29"/>
      <c r="M246" s="33">
        <v>24.28</v>
      </c>
      <c r="N246" s="33">
        <v>171</v>
      </c>
      <c r="O246" s="29"/>
      <c r="P246" s="34">
        <f>(H246*0.5)+(K246*0.3)+(N246*0.2)</f>
        <v>198.3</v>
      </c>
    </row>
    <row r="247" spans="2:16" x14ac:dyDescent="0.2">
      <c r="B247" s="25">
        <v>243</v>
      </c>
      <c r="C247" s="41" t="s">
        <v>80</v>
      </c>
      <c r="D247" s="42" t="s">
        <v>79</v>
      </c>
      <c r="E247" s="28" t="s">
        <v>0</v>
      </c>
      <c r="F247" s="29"/>
      <c r="G247" s="30">
        <v>0</v>
      </c>
      <c r="H247" s="43">
        <v>218</v>
      </c>
      <c r="I247" s="29"/>
      <c r="J247" s="32">
        <v>0</v>
      </c>
      <c r="K247" s="32">
        <v>213</v>
      </c>
      <c r="L247" s="29"/>
      <c r="M247" s="33">
        <v>57.31</v>
      </c>
      <c r="N247" s="33">
        <v>128</v>
      </c>
      <c r="O247" s="29"/>
      <c r="P247" s="34">
        <f>(H247*0.5)+(K247*0.3)+(N247*0.2)</f>
        <v>198.5</v>
      </c>
    </row>
    <row r="248" spans="2:16" x14ac:dyDescent="0.2">
      <c r="B248" s="25">
        <v>244</v>
      </c>
      <c r="C248" s="41" t="s">
        <v>90</v>
      </c>
      <c r="D248" s="42" t="s">
        <v>89</v>
      </c>
      <c r="E248" s="28" t="s">
        <v>29</v>
      </c>
      <c r="F248" s="29"/>
      <c r="G248" s="30">
        <v>0</v>
      </c>
      <c r="H248" s="43">
        <v>218</v>
      </c>
      <c r="I248" s="29"/>
      <c r="J248" s="32">
        <v>33.980000000000004</v>
      </c>
      <c r="K248" s="32">
        <v>182</v>
      </c>
      <c r="L248" s="29"/>
      <c r="M248" s="33">
        <v>14</v>
      </c>
      <c r="N248" s="33">
        <v>183</v>
      </c>
      <c r="O248" s="29"/>
      <c r="P248" s="34">
        <f>(H248*0.5)+(K248*0.3)+(N248*0.2)</f>
        <v>200.2</v>
      </c>
    </row>
    <row r="249" spans="2:16" x14ac:dyDescent="0.2">
      <c r="B249" s="25">
        <v>245</v>
      </c>
      <c r="C249" s="41" t="s">
        <v>68</v>
      </c>
      <c r="D249" s="42" t="s">
        <v>67</v>
      </c>
      <c r="E249" s="28" t="s">
        <v>20</v>
      </c>
      <c r="F249" s="29"/>
      <c r="G249" s="30">
        <v>0</v>
      </c>
      <c r="H249" s="43">
        <v>218</v>
      </c>
      <c r="I249" s="29"/>
      <c r="J249" s="32">
        <v>0</v>
      </c>
      <c r="K249" s="32">
        <v>213</v>
      </c>
      <c r="L249" s="29"/>
      <c r="M249" s="33">
        <v>50.440000000000012</v>
      </c>
      <c r="N249" s="33">
        <v>139</v>
      </c>
      <c r="O249" s="29"/>
      <c r="P249" s="34">
        <f>(H249*0.5)+(K249*0.3)+(N249*0.2)</f>
        <v>200.70000000000002</v>
      </c>
    </row>
    <row r="250" spans="2:16" x14ac:dyDescent="0.2">
      <c r="B250" s="25">
        <v>246</v>
      </c>
      <c r="C250" s="41" t="s">
        <v>28</v>
      </c>
      <c r="D250" s="27" t="s">
        <v>27</v>
      </c>
      <c r="E250" s="28" t="s">
        <v>3</v>
      </c>
      <c r="F250" s="29"/>
      <c r="G250" s="30">
        <v>9.93</v>
      </c>
      <c r="H250" s="31">
        <v>196</v>
      </c>
      <c r="I250" s="29"/>
      <c r="J250" s="32">
        <v>0</v>
      </c>
      <c r="K250" s="32">
        <v>213</v>
      </c>
      <c r="L250" s="29"/>
      <c r="M250" s="33">
        <v>0</v>
      </c>
      <c r="N250" s="33">
        <v>195</v>
      </c>
      <c r="O250" s="29"/>
      <c r="P250" s="34">
        <f>(H250*0.5)+(K250*0.3)+(N250*0.2)</f>
        <v>200.9</v>
      </c>
    </row>
    <row r="251" spans="2:16" x14ac:dyDescent="0.2">
      <c r="B251" s="25">
        <v>247</v>
      </c>
      <c r="C251" s="41" t="s">
        <v>19</v>
      </c>
      <c r="D251" s="27" t="s">
        <v>18</v>
      </c>
      <c r="E251" s="28" t="s">
        <v>9</v>
      </c>
      <c r="F251" s="29"/>
      <c r="G251" s="30">
        <v>5.2</v>
      </c>
      <c r="H251" s="31">
        <v>198</v>
      </c>
      <c r="I251" s="29"/>
      <c r="J251" s="32">
        <v>0</v>
      </c>
      <c r="K251" s="32">
        <v>213</v>
      </c>
      <c r="L251" s="29"/>
      <c r="M251" s="33">
        <v>0</v>
      </c>
      <c r="N251" s="33">
        <v>195</v>
      </c>
      <c r="O251" s="29"/>
      <c r="P251" s="34">
        <f>(H251*0.5)+(K251*0.3)+(N251*0.2)</f>
        <v>201.9</v>
      </c>
    </row>
    <row r="252" spans="2:16" x14ac:dyDescent="0.2">
      <c r="B252" s="25">
        <v>248</v>
      </c>
      <c r="C252" s="41" t="s">
        <v>72</v>
      </c>
      <c r="D252" s="42" t="s">
        <v>71</v>
      </c>
      <c r="E252" s="28" t="s">
        <v>3</v>
      </c>
      <c r="F252" s="29"/>
      <c r="G252" s="30">
        <v>0</v>
      </c>
      <c r="H252" s="43">
        <v>218</v>
      </c>
      <c r="I252" s="29"/>
      <c r="J252" s="32">
        <v>34.68</v>
      </c>
      <c r="K252" s="32">
        <v>180</v>
      </c>
      <c r="L252" s="29"/>
      <c r="M252" s="33">
        <v>0</v>
      </c>
      <c r="N252" s="33">
        <v>195</v>
      </c>
      <c r="O252" s="29"/>
      <c r="P252" s="34">
        <f>(H252*0.5)+(K252*0.3)+(N252*0.2)</f>
        <v>202</v>
      </c>
    </row>
    <row r="253" spans="2:16" x14ac:dyDescent="0.2">
      <c r="B253" s="25">
        <v>249</v>
      </c>
      <c r="C253" s="41" t="s">
        <v>60</v>
      </c>
      <c r="D253" s="42" t="s">
        <v>59</v>
      </c>
      <c r="E253" s="28" t="s">
        <v>44</v>
      </c>
      <c r="F253" s="29"/>
      <c r="G253" s="30">
        <v>0</v>
      </c>
      <c r="H253" s="43">
        <v>218</v>
      </c>
      <c r="I253" s="29"/>
      <c r="J253" s="32">
        <v>0</v>
      </c>
      <c r="K253" s="32">
        <v>213</v>
      </c>
      <c r="L253" s="29"/>
      <c r="M253" s="33">
        <v>45.47</v>
      </c>
      <c r="N253" s="33">
        <v>146</v>
      </c>
      <c r="O253" s="29"/>
      <c r="P253" s="34">
        <f>(H253*0.5)+(K253*0.3)+(N253*0.2)</f>
        <v>202.10000000000002</v>
      </c>
    </row>
    <row r="254" spans="2:16" x14ac:dyDescent="0.2">
      <c r="B254" s="25">
        <v>250</v>
      </c>
      <c r="C254" s="41" t="s">
        <v>52</v>
      </c>
      <c r="D254" s="42" t="s">
        <v>51</v>
      </c>
      <c r="E254" s="28" t="s">
        <v>6</v>
      </c>
      <c r="F254" s="29"/>
      <c r="G254" s="30">
        <v>0</v>
      </c>
      <c r="H254" s="43">
        <v>218</v>
      </c>
      <c r="I254" s="29"/>
      <c r="J254" s="32">
        <v>0</v>
      </c>
      <c r="K254" s="32">
        <v>213</v>
      </c>
      <c r="L254" s="29"/>
      <c r="M254" s="33">
        <v>37.57</v>
      </c>
      <c r="N254" s="33">
        <v>150</v>
      </c>
      <c r="O254" s="29"/>
      <c r="P254" s="34">
        <f>(H254*0.5)+(K254*0.3)+(N254*0.2)</f>
        <v>202.9</v>
      </c>
    </row>
    <row r="255" spans="2:16" x14ac:dyDescent="0.2">
      <c r="B255" s="25">
        <v>251</v>
      </c>
      <c r="C255" s="41" t="s">
        <v>58</v>
      </c>
      <c r="D255" s="27" t="s">
        <v>57</v>
      </c>
      <c r="E255" s="28" t="s">
        <v>44</v>
      </c>
      <c r="F255" s="29"/>
      <c r="G255" s="30">
        <v>17.62</v>
      </c>
      <c r="H255" s="31">
        <v>201</v>
      </c>
      <c r="I255" s="29"/>
      <c r="J255" s="32">
        <v>0</v>
      </c>
      <c r="K255" s="32">
        <v>213</v>
      </c>
      <c r="L255" s="29"/>
      <c r="M255" s="33">
        <v>0</v>
      </c>
      <c r="N255" s="33">
        <v>195</v>
      </c>
      <c r="O255" s="29"/>
      <c r="P255" s="34">
        <f>(H255*0.5)+(K255*0.3)+(N255*0.2)</f>
        <v>203.4</v>
      </c>
    </row>
    <row r="256" spans="2:16" x14ac:dyDescent="0.2">
      <c r="B256" s="25">
        <v>252</v>
      </c>
      <c r="C256" s="41" t="s">
        <v>48</v>
      </c>
      <c r="D256" s="42" t="s">
        <v>47</v>
      </c>
      <c r="E256" s="28" t="s">
        <v>3</v>
      </c>
      <c r="F256" s="29"/>
      <c r="G256" s="30">
        <v>0</v>
      </c>
      <c r="H256" s="43">
        <v>218</v>
      </c>
      <c r="I256" s="29"/>
      <c r="J256" s="32">
        <v>0</v>
      </c>
      <c r="K256" s="32">
        <v>213</v>
      </c>
      <c r="L256" s="29"/>
      <c r="M256" s="33">
        <v>35.75</v>
      </c>
      <c r="N256" s="33">
        <v>153</v>
      </c>
      <c r="O256" s="29"/>
      <c r="P256" s="34">
        <f>(H256*0.5)+(K256*0.3)+(N256*0.2)</f>
        <v>203.5</v>
      </c>
    </row>
    <row r="257" spans="2:16" x14ac:dyDescent="0.2">
      <c r="B257" s="25">
        <v>253</v>
      </c>
      <c r="C257" s="41" t="s">
        <v>46</v>
      </c>
      <c r="D257" s="42" t="s">
        <v>45</v>
      </c>
      <c r="E257" s="28" t="s">
        <v>44</v>
      </c>
      <c r="F257" s="29"/>
      <c r="G257" s="30">
        <v>0</v>
      </c>
      <c r="H257" s="43">
        <v>218</v>
      </c>
      <c r="I257" s="29"/>
      <c r="J257" s="32">
        <v>0</v>
      </c>
      <c r="K257" s="32">
        <v>213</v>
      </c>
      <c r="L257" s="29"/>
      <c r="M257" s="33">
        <v>35.35</v>
      </c>
      <c r="N257" s="33">
        <v>154</v>
      </c>
      <c r="O257" s="29"/>
      <c r="P257" s="34">
        <f>(H257*0.5)+(K257*0.3)+(N257*0.2)</f>
        <v>203.70000000000002</v>
      </c>
    </row>
    <row r="258" spans="2:16" x14ac:dyDescent="0.2">
      <c r="B258" s="25">
        <v>254</v>
      </c>
      <c r="C258" s="41" t="s">
        <v>88</v>
      </c>
      <c r="D258" s="27" t="s">
        <v>87</v>
      </c>
      <c r="E258" s="28" t="s">
        <v>3</v>
      </c>
      <c r="F258" s="29"/>
      <c r="G258" s="30">
        <v>12.5</v>
      </c>
      <c r="H258" s="31">
        <v>212</v>
      </c>
      <c r="I258" s="29"/>
      <c r="J258" s="32">
        <v>10.63</v>
      </c>
      <c r="K258" s="32">
        <v>206</v>
      </c>
      <c r="L258" s="29"/>
      <c r="M258" s="33">
        <v>16.39</v>
      </c>
      <c r="N258" s="33">
        <v>181</v>
      </c>
      <c r="O258" s="29"/>
      <c r="P258" s="34">
        <f>(H258*0.5)+(K258*0.3)+(N258*0.2)</f>
        <v>204</v>
      </c>
    </row>
    <row r="259" spans="2:16" x14ac:dyDescent="0.2">
      <c r="B259" s="25">
        <v>255</v>
      </c>
      <c r="C259" s="41" t="s">
        <v>54</v>
      </c>
      <c r="D259" s="42" t="s">
        <v>53</v>
      </c>
      <c r="E259" s="28" t="s">
        <v>6</v>
      </c>
      <c r="F259" s="29"/>
      <c r="G259" s="30">
        <v>0</v>
      </c>
      <c r="H259" s="43">
        <v>218</v>
      </c>
      <c r="I259" s="29"/>
      <c r="J259" s="32">
        <v>6.8900000000000006</v>
      </c>
      <c r="K259" s="32">
        <v>207</v>
      </c>
      <c r="L259" s="29"/>
      <c r="M259" s="33">
        <v>29.73</v>
      </c>
      <c r="N259" s="33">
        <v>165</v>
      </c>
      <c r="O259" s="29"/>
      <c r="P259" s="34">
        <f>(H259*0.5)+(K259*0.3)+(N259*0.2)</f>
        <v>204.1</v>
      </c>
    </row>
    <row r="260" spans="2:16" x14ac:dyDescent="0.2">
      <c r="B260" s="25">
        <v>256</v>
      </c>
      <c r="C260" s="41" t="s">
        <v>43</v>
      </c>
      <c r="D260" s="42" t="s">
        <v>42</v>
      </c>
      <c r="E260" s="28" t="s">
        <v>3</v>
      </c>
      <c r="F260" s="29"/>
      <c r="G260" s="30">
        <v>0</v>
      </c>
      <c r="H260" s="43">
        <v>218</v>
      </c>
      <c r="I260" s="29"/>
      <c r="J260" s="32">
        <v>0</v>
      </c>
      <c r="K260" s="32">
        <v>213</v>
      </c>
      <c r="L260" s="29"/>
      <c r="M260" s="33">
        <v>34.620000000000005</v>
      </c>
      <c r="N260" s="33">
        <v>156</v>
      </c>
      <c r="O260" s="29"/>
      <c r="P260" s="34">
        <f>(H260*0.5)+(K260*0.3)+(N260*0.2)</f>
        <v>204.10000000000002</v>
      </c>
    </row>
    <row r="261" spans="2:16" x14ac:dyDescent="0.2">
      <c r="B261" s="25">
        <v>257</v>
      </c>
      <c r="C261" s="41" t="s">
        <v>64</v>
      </c>
      <c r="D261" s="42" t="s">
        <v>63</v>
      </c>
      <c r="E261" s="28" t="s">
        <v>9</v>
      </c>
      <c r="F261" s="29"/>
      <c r="G261" s="30">
        <v>0</v>
      </c>
      <c r="H261" s="43">
        <v>218</v>
      </c>
      <c r="I261" s="29"/>
      <c r="J261" s="32">
        <v>31.580000000000002</v>
      </c>
      <c r="K261" s="32">
        <v>188</v>
      </c>
      <c r="L261" s="29"/>
      <c r="M261" s="33">
        <v>0</v>
      </c>
      <c r="N261" s="33">
        <v>195</v>
      </c>
      <c r="O261" s="29"/>
      <c r="P261" s="34">
        <f>(H261*0.5)+(K261*0.3)+(N261*0.2)</f>
        <v>204.4</v>
      </c>
    </row>
    <row r="262" spans="2:16" x14ac:dyDescent="0.2">
      <c r="B262" s="25">
        <v>258</v>
      </c>
      <c r="C262" s="41" t="s">
        <v>37</v>
      </c>
      <c r="D262" s="27" t="s">
        <v>36</v>
      </c>
      <c r="E262" s="28" t="s">
        <v>20</v>
      </c>
      <c r="F262" s="29"/>
      <c r="G262" s="30">
        <v>11.78</v>
      </c>
      <c r="H262" s="31">
        <v>204</v>
      </c>
      <c r="I262" s="29"/>
      <c r="J262" s="32">
        <v>0</v>
      </c>
      <c r="K262" s="32">
        <v>213</v>
      </c>
      <c r="L262" s="29"/>
      <c r="M262" s="33">
        <v>0</v>
      </c>
      <c r="N262" s="33">
        <v>195</v>
      </c>
      <c r="O262" s="29"/>
      <c r="P262" s="34">
        <f>(H262*0.5)+(K262*0.3)+(N262*0.2)</f>
        <v>204.9</v>
      </c>
    </row>
    <row r="263" spans="2:16" x14ac:dyDescent="0.2">
      <c r="B263" s="25">
        <v>259</v>
      </c>
      <c r="C263" s="41" t="s">
        <v>41</v>
      </c>
      <c r="D263" s="42" t="s">
        <v>40</v>
      </c>
      <c r="E263" s="28" t="s">
        <v>0</v>
      </c>
      <c r="F263" s="29"/>
      <c r="G263" s="30">
        <v>0</v>
      </c>
      <c r="H263" s="43">
        <v>218</v>
      </c>
      <c r="I263" s="29"/>
      <c r="J263" s="32">
        <v>0</v>
      </c>
      <c r="K263" s="32">
        <v>213</v>
      </c>
      <c r="L263" s="29"/>
      <c r="M263" s="33">
        <v>31.990000000000002</v>
      </c>
      <c r="N263" s="33">
        <v>161</v>
      </c>
      <c r="O263" s="29"/>
      <c r="P263" s="34">
        <f>(H263*0.5)+(K263*0.3)+(N263*0.2)</f>
        <v>205.10000000000002</v>
      </c>
    </row>
    <row r="264" spans="2:16" x14ac:dyDescent="0.2">
      <c r="B264" s="25">
        <v>260</v>
      </c>
      <c r="C264" s="41" t="s">
        <v>62</v>
      </c>
      <c r="D264" s="42" t="s">
        <v>61</v>
      </c>
      <c r="E264" s="28" t="s">
        <v>44</v>
      </c>
      <c r="F264" s="29"/>
      <c r="G264" s="30">
        <v>0</v>
      </c>
      <c r="H264" s="43">
        <v>218</v>
      </c>
      <c r="I264" s="29"/>
      <c r="J264" s="32">
        <v>24.07</v>
      </c>
      <c r="K264" s="32">
        <v>196</v>
      </c>
      <c r="L264" s="29"/>
      <c r="M264" s="33">
        <v>10.6</v>
      </c>
      <c r="N264" s="33">
        <v>187</v>
      </c>
      <c r="O264" s="29"/>
      <c r="P264" s="34">
        <f>(H264*0.5)+(K264*0.3)+(N264*0.2)</f>
        <v>205.20000000000002</v>
      </c>
    </row>
    <row r="265" spans="2:16" x14ac:dyDescent="0.2">
      <c r="B265" s="25">
        <v>261</v>
      </c>
      <c r="C265" s="41" t="s">
        <v>39</v>
      </c>
      <c r="D265" s="42" t="s">
        <v>38</v>
      </c>
      <c r="E265" s="28" t="s">
        <v>3</v>
      </c>
      <c r="F265" s="29"/>
      <c r="G265" s="30">
        <v>0</v>
      </c>
      <c r="H265" s="43">
        <v>218</v>
      </c>
      <c r="I265" s="29"/>
      <c r="J265" s="32">
        <v>0</v>
      </c>
      <c r="K265" s="32">
        <v>213</v>
      </c>
      <c r="L265" s="29"/>
      <c r="M265" s="33">
        <v>31.62</v>
      </c>
      <c r="N265" s="33">
        <v>162</v>
      </c>
      <c r="O265" s="29"/>
      <c r="P265" s="34">
        <f>(H265*0.5)+(K265*0.3)+(N265*0.2)</f>
        <v>205.3</v>
      </c>
    </row>
    <row r="266" spans="2:16" x14ac:dyDescent="0.2">
      <c r="B266" s="25">
        <v>262</v>
      </c>
      <c r="C266" s="41" t="s">
        <v>56</v>
      </c>
      <c r="D266" s="42" t="s">
        <v>55</v>
      </c>
      <c r="E266" s="28" t="s">
        <v>44</v>
      </c>
      <c r="F266" s="29"/>
      <c r="G266" s="30">
        <v>0</v>
      </c>
      <c r="H266" s="43">
        <v>218</v>
      </c>
      <c r="I266" s="29"/>
      <c r="J266" s="32">
        <v>28.46</v>
      </c>
      <c r="K266" s="32">
        <v>191</v>
      </c>
      <c r="L266" s="29"/>
      <c r="M266" s="33">
        <v>0</v>
      </c>
      <c r="N266" s="33">
        <v>195</v>
      </c>
      <c r="O266" s="29"/>
      <c r="P266" s="34">
        <f>(H266*0.5)+(K266*0.3)+(N266*0.2)</f>
        <v>205.3</v>
      </c>
    </row>
    <row r="267" spans="2:16" x14ac:dyDescent="0.2">
      <c r="B267" s="25">
        <v>263</v>
      </c>
      <c r="C267" s="41" t="s">
        <v>31</v>
      </c>
      <c r="D267" s="42" t="s">
        <v>30</v>
      </c>
      <c r="E267" s="28" t="s">
        <v>29</v>
      </c>
      <c r="F267" s="29"/>
      <c r="G267" s="30">
        <v>0</v>
      </c>
      <c r="H267" s="43">
        <v>218</v>
      </c>
      <c r="I267" s="29"/>
      <c r="J267" s="32">
        <v>0</v>
      </c>
      <c r="K267" s="32">
        <v>213</v>
      </c>
      <c r="L267" s="29"/>
      <c r="M267" s="33">
        <v>26</v>
      </c>
      <c r="N267" s="33">
        <v>169</v>
      </c>
      <c r="O267" s="29"/>
      <c r="P267" s="34">
        <f>(H267*0.5)+(K267*0.3)+(N267*0.2)</f>
        <v>206.70000000000002</v>
      </c>
    </row>
    <row r="268" spans="2:16" x14ac:dyDescent="0.2">
      <c r="B268" s="25">
        <v>264</v>
      </c>
      <c r="C268" s="41" t="s">
        <v>26</v>
      </c>
      <c r="D268" s="42" t="s">
        <v>25</v>
      </c>
      <c r="E268" s="28" t="s">
        <v>3</v>
      </c>
      <c r="F268" s="29"/>
      <c r="G268" s="30">
        <v>0</v>
      </c>
      <c r="H268" s="43">
        <v>218</v>
      </c>
      <c r="I268" s="29"/>
      <c r="J268" s="32">
        <v>0</v>
      </c>
      <c r="K268" s="32">
        <v>213</v>
      </c>
      <c r="L268" s="29"/>
      <c r="M268" s="33">
        <v>23.76</v>
      </c>
      <c r="N268" s="33">
        <v>172</v>
      </c>
      <c r="O268" s="29"/>
      <c r="P268" s="34">
        <f>(H268*0.5)+(K268*0.3)+(N268*0.2)</f>
        <v>207.3</v>
      </c>
    </row>
    <row r="269" spans="2:16" x14ac:dyDescent="0.2">
      <c r="B269" s="25">
        <v>265</v>
      </c>
      <c r="C269" s="41" t="s">
        <v>50</v>
      </c>
      <c r="D269" s="27" t="s">
        <v>49</v>
      </c>
      <c r="E269" s="28" t="s">
        <v>3</v>
      </c>
      <c r="F269" s="29"/>
      <c r="G269" s="30">
        <v>14.99</v>
      </c>
      <c r="H269" s="31">
        <v>209</v>
      </c>
      <c r="I269" s="29"/>
      <c r="J269" s="32">
        <v>0</v>
      </c>
      <c r="K269" s="32">
        <v>213</v>
      </c>
      <c r="L269" s="29"/>
      <c r="M269" s="33">
        <v>0</v>
      </c>
      <c r="N269" s="33">
        <v>195</v>
      </c>
      <c r="O269" s="29"/>
      <c r="P269" s="34">
        <f>(H269*0.5)+(K269*0.3)+(N269*0.2)</f>
        <v>207.4</v>
      </c>
    </row>
    <row r="270" spans="2:16" x14ac:dyDescent="0.2">
      <c r="B270" s="25">
        <v>266</v>
      </c>
      <c r="C270" s="41" t="s">
        <v>35</v>
      </c>
      <c r="D270" s="42" t="s">
        <v>34</v>
      </c>
      <c r="E270" s="28" t="s">
        <v>3</v>
      </c>
      <c r="F270" s="29"/>
      <c r="G270" s="30">
        <v>0</v>
      </c>
      <c r="H270" s="43">
        <v>218</v>
      </c>
      <c r="I270" s="29"/>
      <c r="J270" s="32">
        <v>19.260000000000002</v>
      </c>
      <c r="K270" s="32">
        <v>199</v>
      </c>
      <c r="L270" s="29"/>
      <c r="M270" s="33">
        <v>0</v>
      </c>
      <c r="N270" s="33">
        <v>195</v>
      </c>
      <c r="O270" s="29"/>
      <c r="P270" s="34">
        <f>(H270*0.5)+(K270*0.3)+(N270*0.2)</f>
        <v>207.7</v>
      </c>
    </row>
    <row r="271" spans="2:16" x14ac:dyDescent="0.2">
      <c r="B271" s="25">
        <v>267</v>
      </c>
      <c r="C271" s="41" t="s">
        <v>22</v>
      </c>
      <c r="D271" s="42" t="s">
        <v>21</v>
      </c>
      <c r="E271" s="28" t="s">
        <v>20</v>
      </c>
      <c r="F271" s="29"/>
      <c r="G271" s="30">
        <v>0</v>
      </c>
      <c r="H271" s="43">
        <v>218</v>
      </c>
      <c r="I271" s="29"/>
      <c r="J271" s="32">
        <v>0</v>
      </c>
      <c r="K271" s="32">
        <v>213</v>
      </c>
      <c r="L271" s="29"/>
      <c r="M271" s="33">
        <v>16.61</v>
      </c>
      <c r="N271" s="33">
        <v>180</v>
      </c>
      <c r="O271" s="29"/>
      <c r="P271" s="34">
        <f>(H271*0.5)+(K271*0.3)+(N271*0.2)</f>
        <v>208.9</v>
      </c>
    </row>
    <row r="272" spans="2:16" x14ac:dyDescent="0.2">
      <c r="B272" s="25">
        <v>268</v>
      </c>
      <c r="C272" s="41" t="s">
        <v>33</v>
      </c>
      <c r="D272" s="27" t="s">
        <v>32</v>
      </c>
      <c r="E272" s="28" t="s">
        <v>3</v>
      </c>
      <c r="F272" s="29"/>
      <c r="G272" s="30">
        <v>11.38</v>
      </c>
      <c r="H272" s="31">
        <v>213</v>
      </c>
      <c r="I272" s="29"/>
      <c r="J272" s="32">
        <v>0</v>
      </c>
      <c r="K272" s="32">
        <v>213</v>
      </c>
      <c r="L272" s="29"/>
      <c r="M272" s="33">
        <v>0</v>
      </c>
      <c r="N272" s="33">
        <v>195</v>
      </c>
      <c r="O272" s="29"/>
      <c r="P272" s="34">
        <f>(H272*0.5)+(K272*0.3)+(N272*0.2)</f>
        <v>209.4</v>
      </c>
    </row>
    <row r="273" spans="2:16" x14ac:dyDescent="0.2">
      <c r="B273" s="25">
        <v>269</v>
      </c>
      <c r="C273" s="41" t="s">
        <v>24</v>
      </c>
      <c r="D273" s="42" t="s">
        <v>23</v>
      </c>
      <c r="E273" s="28" t="s">
        <v>20</v>
      </c>
      <c r="F273" s="29"/>
      <c r="G273" s="30">
        <v>0</v>
      </c>
      <c r="H273" s="43">
        <v>218</v>
      </c>
      <c r="I273" s="29"/>
      <c r="J273" s="32">
        <v>11.33</v>
      </c>
      <c r="K273" s="32">
        <v>205</v>
      </c>
      <c r="L273" s="29"/>
      <c r="M273" s="33">
        <v>0</v>
      </c>
      <c r="N273" s="33">
        <v>195</v>
      </c>
      <c r="O273" s="29"/>
      <c r="P273" s="34">
        <f>(H273*0.5)+(K273*0.3)+(N273*0.2)</f>
        <v>209.5</v>
      </c>
    </row>
    <row r="274" spans="2:16" x14ac:dyDescent="0.2">
      <c r="B274" s="25">
        <v>270</v>
      </c>
      <c r="C274" s="41" t="s">
        <v>17</v>
      </c>
      <c r="D274" s="42" t="s">
        <v>16</v>
      </c>
      <c r="E274" s="28" t="s">
        <v>3</v>
      </c>
      <c r="F274" s="29"/>
      <c r="G274" s="30">
        <v>0</v>
      </c>
      <c r="H274" s="43">
        <v>218</v>
      </c>
      <c r="I274" s="29"/>
      <c r="J274" s="32">
        <v>0</v>
      </c>
      <c r="K274" s="32">
        <v>213</v>
      </c>
      <c r="L274" s="29"/>
      <c r="M274" s="33">
        <v>12.450000000000001</v>
      </c>
      <c r="N274" s="33">
        <v>184</v>
      </c>
      <c r="O274" s="29"/>
      <c r="P274" s="34">
        <f>(H274*0.5)+(K274*0.3)+(N274*0.2)</f>
        <v>209.70000000000002</v>
      </c>
    </row>
    <row r="275" spans="2:16" x14ac:dyDescent="0.2">
      <c r="B275" s="25">
        <v>271</v>
      </c>
      <c r="C275" s="41" t="s">
        <v>15</v>
      </c>
      <c r="D275" s="27" t="s">
        <v>14</v>
      </c>
      <c r="E275" s="28" t="s">
        <v>6</v>
      </c>
      <c r="F275" s="29"/>
      <c r="G275" s="30">
        <v>2.1</v>
      </c>
      <c r="H275" s="31">
        <v>215</v>
      </c>
      <c r="I275" s="29"/>
      <c r="J275" s="32">
        <v>0</v>
      </c>
      <c r="K275" s="32">
        <v>213</v>
      </c>
      <c r="L275" s="29"/>
      <c r="M275" s="33">
        <v>0</v>
      </c>
      <c r="N275" s="33">
        <v>195</v>
      </c>
      <c r="O275" s="29"/>
      <c r="P275" s="34">
        <f>(H275*0.5)+(K275*0.3)+(N275*0.2)</f>
        <v>210.4</v>
      </c>
    </row>
    <row r="276" spans="2:16" x14ac:dyDescent="0.2">
      <c r="B276" s="25">
        <v>272</v>
      </c>
      <c r="C276" s="41" t="s">
        <v>13</v>
      </c>
      <c r="D276" s="42" t="s">
        <v>12</v>
      </c>
      <c r="E276" s="28" t="s">
        <v>9</v>
      </c>
      <c r="F276" s="29"/>
      <c r="G276" s="30">
        <v>0</v>
      </c>
      <c r="H276" s="43">
        <v>218</v>
      </c>
      <c r="I276" s="29"/>
      <c r="J276" s="32">
        <v>3.1500000000000008</v>
      </c>
      <c r="K276" s="32">
        <v>209</v>
      </c>
      <c r="L276" s="29"/>
      <c r="M276" s="33">
        <v>0</v>
      </c>
      <c r="N276" s="33">
        <v>195</v>
      </c>
      <c r="O276" s="29"/>
      <c r="P276" s="34">
        <f>(H276*0.5)+(K276*0.3)+(N276*0.2)</f>
        <v>210.7</v>
      </c>
    </row>
    <row r="277" spans="2:16" x14ac:dyDescent="0.2">
      <c r="B277" s="25">
        <v>273</v>
      </c>
      <c r="C277" s="41" t="s">
        <v>11</v>
      </c>
      <c r="D277" s="42" t="s">
        <v>10</v>
      </c>
      <c r="E277" s="28" t="s">
        <v>9</v>
      </c>
      <c r="F277" s="29"/>
      <c r="G277" s="30">
        <v>0</v>
      </c>
      <c r="H277" s="43">
        <v>218</v>
      </c>
      <c r="I277" s="29"/>
      <c r="J277" s="32">
        <v>0</v>
      </c>
      <c r="K277" s="32">
        <v>213</v>
      </c>
      <c r="L277" s="29"/>
      <c r="M277" s="33">
        <v>3.95</v>
      </c>
      <c r="N277" s="33">
        <v>191</v>
      </c>
      <c r="O277" s="29"/>
      <c r="P277" s="34">
        <f>(H277*0.5)+(K277*0.3)+(N277*0.2)</f>
        <v>211.10000000000002</v>
      </c>
    </row>
    <row r="278" spans="2:16" x14ac:dyDescent="0.2">
      <c r="B278" s="25">
        <v>274</v>
      </c>
      <c r="C278" s="41" t="s">
        <v>8</v>
      </c>
      <c r="D278" s="42" t="s">
        <v>7</v>
      </c>
      <c r="E278" s="28" t="s">
        <v>6</v>
      </c>
      <c r="F278" s="29"/>
      <c r="G278" s="30">
        <v>0</v>
      </c>
      <c r="H278" s="43">
        <v>218</v>
      </c>
      <c r="I278" s="29"/>
      <c r="J278" s="32">
        <v>0</v>
      </c>
      <c r="K278" s="32">
        <v>213</v>
      </c>
      <c r="L278" s="29"/>
      <c r="M278" s="33">
        <v>3.5</v>
      </c>
      <c r="N278" s="33">
        <v>192</v>
      </c>
      <c r="O278" s="29"/>
      <c r="P278" s="34">
        <f>(H278*0.5)+(K278*0.3)+(N278*0.2)</f>
        <v>211.3</v>
      </c>
    </row>
    <row r="279" spans="2:16" x14ac:dyDescent="0.2">
      <c r="B279" s="25">
        <v>275</v>
      </c>
      <c r="C279" s="41" t="s">
        <v>5</v>
      </c>
      <c r="D279" s="42" t="s">
        <v>4</v>
      </c>
      <c r="E279" s="28" t="s">
        <v>3</v>
      </c>
      <c r="F279" s="29"/>
      <c r="G279" s="30">
        <v>0</v>
      </c>
      <c r="H279" s="43">
        <v>218</v>
      </c>
      <c r="I279" s="29"/>
      <c r="J279" s="32">
        <v>1.3900000000000001</v>
      </c>
      <c r="K279" s="32">
        <v>211</v>
      </c>
      <c r="L279" s="29"/>
      <c r="M279" s="33">
        <v>0</v>
      </c>
      <c r="N279" s="33">
        <v>195</v>
      </c>
      <c r="O279" s="29"/>
      <c r="P279" s="34">
        <f>(H279*0.5)+(K279*0.3)+(N279*0.2)</f>
        <v>211.3</v>
      </c>
    </row>
    <row r="280" spans="2:16" x14ac:dyDescent="0.2">
      <c r="B280" s="25">
        <v>276</v>
      </c>
      <c r="C280" s="41" t="s">
        <v>2</v>
      </c>
      <c r="D280" s="42" t="s">
        <v>1</v>
      </c>
      <c r="E280" s="28" t="s">
        <v>0</v>
      </c>
      <c r="F280" s="29"/>
      <c r="G280" s="30">
        <v>0</v>
      </c>
      <c r="H280" s="43">
        <v>218</v>
      </c>
      <c r="I280" s="29"/>
      <c r="J280" s="32">
        <v>1.21</v>
      </c>
      <c r="K280" s="32">
        <v>212</v>
      </c>
      <c r="L280" s="29"/>
      <c r="M280" s="33">
        <v>0</v>
      </c>
      <c r="N280" s="33">
        <v>195</v>
      </c>
      <c r="O280" s="29"/>
      <c r="P280" s="34">
        <f>(H280*0.5)+(K280*0.3)+(N280*0.2)</f>
        <v>211.6</v>
      </c>
    </row>
  </sheetData>
  <sortState ref="B5:Q280">
    <sortCondition ref="P5:P280"/>
  </sortState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Position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Boyce Lloyd</dc:creator>
  <cp:lastModifiedBy>Thys</cp:lastModifiedBy>
  <dcterms:created xsi:type="dcterms:W3CDTF">2026-04-24T18:06:49Z</dcterms:created>
  <dcterms:modified xsi:type="dcterms:W3CDTF">2026-04-27T19:18:24Z</dcterms:modified>
</cp:coreProperties>
</file>